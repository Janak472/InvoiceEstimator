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agwa\Desktop\"/>
    </mc:Choice>
  </mc:AlternateContent>
  <xr:revisionPtr revIDLastSave="0" documentId="13_ncr:1_{0F5AD6B7-C58C-4CA1-8C0A-E69BA86CAC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 " sheetId="1" r:id="rId1"/>
    <sheet name="partyname" sheetId="2" r:id="rId2"/>
    <sheet name="product name" sheetId="3" r:id="rId3"/>
    <sheet name="Transport" sheetId="4" r:id="rId4"/>
    <sheet name="Record" sheetId="5" r:id="rId5"/>
    <sheet name="Sheet1" sheetId="9" state="hidden" r:id="rId6"/>
    <sheet name="Pivot" sheetId="8" r:id="rId7"/>
  </sheets>
  <definedNames>
    <definedName name="itemname">Table4[[Item name ]]</definedName>
    <definedName name="partyname">Table2[Party name]</definedName>
    <definedName name="_xlnm.Print_Area" localSheetId="0">'Invoice '!$A$2:$G$50</definedName>
    <definedName name="transport">#REF!</definedName>
    <definedName name="transportname">Table6[Transport]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E5" i="1" l="1"/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C28" i="1" l="1"/>
  <c r="C33" i="1" l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G11" i="1" l="1"/>
  <c r="C13" i="1" l="1"/>
  <c r="G12" i="1" l="1"/>
  <c r="C12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9" i="1"/>
  <c r="C30" i="1"/>
  <c r="C31" i="1"/>
  <c r="C32" i="1"/>
  <c r="C11" i="1"/>
  <c r="A43" i="1" l="1"/>
  <c r="A44" i="1" s="1"/>
  <c r="G48" i="1"/>
  <c r="G49" i="1" s="1"/>
  <c r="G50" i="1" s="1"/>
  <c r="A45" i="1" l="1"/>
  <c r="A46" i="1" s="1"/>
  <c r="A47" i="1" s="1"/>
</calcChain>
</file>

<file path=xl/sharedStrings.xml><?xml version="1.0" encoding="utf-8"?>
<sst xmlns="http://schemas.openxmlformats.org/spreadsheetml/2006/main" count="67" uniqueCount="50">
  <si>
    <t>Sno.</t>
  </si>
  <si>
    <t>Qty</t>
  </si>
  <si>
    <t>Total</t>
  </si>
  <si>
    <t xml:space="preserve">Phone Number </t>
  </si>
  <si>
    <t>Party name</t>
  </si>
  <si>
    <t xml:space="preserve">Item name </t>
  </si>
  <si>
    <t xml:space="preserve">Unit </t>
  </si>
  <si>
    <t xml:space="preserve">Price </t>
  </si>
  <si>
    <t>To,</t>
  </si>
  <si>
    <t>Dis.</t>
  </si>
  <si>
    <t>GST(+)</t>
  </si>
  <si>
    <t xml:space="preserve">Proforma </t>
  </si>
  <si>
    <t xml:space="preserve"> no.</t>
  </si>
  <si>
    <t>Transport:</t>
  </si>
  <si>
    <t>Transport</t>
  </si>
  <si>
    <t>E &amp; OE</t>
  </si>
  <si>
    <t xml:space="preserve"> </t>
  </si>
  <si>
    <t xml:space="preserve">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</si>
  <si>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</si>
  <si>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</t>
  </si>
  <si>
    <t xml:space="preserve">                                                     </t>
  </si>
  <si>
    <t xml:space="preserve">  </t>
  </si>
  <si>
    <t xml:space="preserve">          </t>
  </si>
  <si>
    <t>Gst Number</t>
  </si>
  <si>
    <t xml:space="preserve">MOP :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</si>
  <si>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</si>
  <si>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</t>
  </si>
  <si>
    <t>Invoice No.</t>
  </si>
  <si>
    <t>Party Name</t>
  </si>
  <si>
    <t xml:space="preserve">Date </t>
  </si>
  <si>
    <t>Amount</t>
  </si>
  <si>
    <t>Paid</t>
  </si>
  <si>
    <t>Invoice saved as PDF</t>
  </si>
  <si>
    <t>Invoice saved as excel</t>
  </si>
  <si>
    <t>Grand Total</t>
  </si>
  <si>
    <t>Sum of Amount</t>
  </si>
  <si>
    <t>City</t>
  </si>
  <si>
    <t>Rate</t>
  </si>
  <si>
    <t>Party Details</t>
  </si>
  <si>
    <t xml:space="preserve">                             </t>
  </si>
  <si>
    <t>(blank)</t>
  </si>
  <si>
    <t>Description</t>
  </si>
  <si>
    <t>Unit</t>
  </si>
  <si>
    <t>Random</t>
  </si>
  <si>
    <t>Dozen</t>
  </si>
  <si>
    <t xml:space="preserve">Samay Jain </t>
  </si>
  <si>
    <t>Manvendra Singh Chouhan</t>
  </si>
  <si>
    <t xml:space="preserve">Bat </t>
  </si>
  <si>
    <t>Pcs</t>
  </si>
  <si>
    <t>Nicotine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</si>
</sst>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164" formatCode="&quot;₹&quot;\ #,##0.00"/>
    <numFmt numFmtId="165" formatCode="[$-409]d\-mmm\-yy;@"/>
    <numFmt numFmtId="166" formatCode="[$INR]\ #,##0"/>
  </numFmts>
  <fonts count="2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man Thin"/>
    </font>
    <font>
      <b/>
      <sz val="10"/>
      <color rgb="FF202124"/>
      <name val="Inherit"/>
    </font>
    <font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right" vertical="center"/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10" fillId="0" borderId="2" xfId="0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 applyProtection="1">
      <alignment horizontal="left" vertical="center"/>
      <protection locked="0"/>
    </xf>
    <xf numFmtId="0" fontId="10" fillId="0" borderId="3" xfId="0" applyFont="1" applyBorder="1" applyAlignment="1" applyProtection="1">
      <alignment horizontal="left" vertical="center"/>
      <protection locked="0"/>
    </xf>
    <xf numFmtId="0" fontId="11" fillId="0" borderId="0" xfId="0" applyFont="1"/>
    <xf numFmtId="49" fontId="11" fillId="0" borderId="0" xfId="0" applyNumberFormat="1" applyFont="1"/>
    <xf numFmtId="0" fontId="0" fillId="0" borderId="5" xfId="0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horizontal="right" vertical="center"/>
      <protection locked="0"/>
    </xf>
    <xf numFmtId="0" fontId="0" fillId="0" borderId="8" xfId="0" applyBorder="1" applyAlignment="1" applyProtection="1">
      <alignment horizontal="right" vertical="center"/>
      <protection locked="0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4" fontId="0" fillId="3" borderId="2" xfId="0" applyNumberFormat="1" applyFill="1" applyBorder="1" applyAlignment="1">
      <alignment horizontal="right" vertical="center"/>
    </xf>
    <xf numFmtId="4" fontId="0" fillId="3" borderId="6" xfId="0" applyNumberFormat="1" applyFill="1" applyBorder="1" applyAlignment="1">
      <alignment horizontal="right" vertical="center"/>
    </xf>
    <xf numFmtId="4" fontId="0" fillId="3" borderId="12" xfId="0" applyNumberFormat="1" applyFill="1" applyBorder="1" applyAlignment="1">
      <alignment horizontal="right" vertical="center"/>
    </xf>
    <xf numFmtId="0" fontId="14" fillId="0" borderId="0" xfId="0" applyFont="1"/>
    <xf numFmtId="0" fontId="0" fillId="0" borderId="0" xfId="0" applyAlignment="1" applyProtection="1">
      <alignment vertical="center"/>
      <protection locked="0"/>
    </xf>
    <xf numFmtId="165" fontId="0" fillId="3" borderId="9" xfId="0" applyNumberFormat="1" applyFill="1" applyBorder="1" applyProtection="1">
      <protection locked="0"/>
    </xf>
    <xf numFmtId="165" fontId="0" fillId="3" borderId="10" xfId="0" applyNumberFormat="1" applyFill="1" applyBorder="1" applyProtection="1">
      <protection locked="0"/>
    </xf>
    <xf numFmtId="0" fontId="15" fillId="0" borderId="14" xfId="0" applyFont="1" applyBorder="1" applyAlignment="1" applyProtection="1">
      <alignment horizontal="left" vertical="center"/>
      <protection locked="0"/>
    </xf>
    <xf numFmtId="0" fontId="17" fillId="0" borderId="0" xfId="0" applyFont="1" applyProtection="1">
      <protection locked="0"/>
    </xf>
    <xf numFmtId="0" fontId="18" fillId="0" borderId="17" xfId="0" applyFont="1" applyBorder="1" applyAlignment="1">
      <alignment horizontal="right" vertical="center"/>
    </xf>
    <xf numFmtId="0" fontId="19" fillId="0" borderId="0" xfId="0" applyFont="1"/>
    <xf numFmtId="0" fontId="0" fillId="0" borderId="1" xfId="0" applyBorder="1" applyAlignment="1" applyProtection="1">
      <alignment horizontal="center" vertical="center"/>
      <protection locked="0"/>
    </xf>
    <xf numFmtId="0" fontId="20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7" fontId="0" fillId="0" borderId="0" xfId="0" applyNumberFormat="1"/>
    <xf numFmtId="0" fontId="0" fillId="4" borderId="0" xfId="0" applyFill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14" fontId="0" fillId="0" borderId="0" xfId="0" applyNumberFormat="1" applyAlignment="1">
      <alignment horizontal="center" vertical="center"/>
    </xf>
    <xf numFmtId="0" fontId="4" fillId="0" borderId="9" xfId="0" applyFont="1" applyBorder="1" applyAlignment="1" applyProtection="1">
      <alignment horizontal="center"/>
      <protection locked="0"/>
    </xf>
    <xf numFmtId="164" fontId="0" fillId="0" borderId="18" xfId="0" applyNumberFormat="1" applyBorder="1" applyProtection="1">
      <protection locked="0"/>
    </xf>
    <xf numFmtId="166" fontId="3" fillId="3" borderId="19" xfId="0" applyNumberFormat="1" applyFont="1" applyFill="1" applyBorder="1" applyAlignment="1">
      <alignment horizontal="center" vertical="center"/>
    </xf>
    <xf numFmtId="0" fontId="0" fillId="0" borderId="16" xfId="0" applyBorder="1" applyAlignment="1" applyProtection="1">
      <alignment horizontal="left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5" xfId="0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165" fontId="1" fillId="3" borderId="5" xfId="0" applyNumberFormat="1" applyFont="1" applyFill="1" applyBorder="1" applyAlignment="1" applyProtection="1">
      <alignment horizontal="center" vertical="center"/>
      <protection locked="0"/>
    </xf>
    <xf numFmtId="165" fontId="0" fillId="3" borderId="4" xfId="0" applyNumberFormat="1" applyFill="1" applyBorder="1" applyProtection="1">
      <protection locked="0"/>
    </xf>
    <xf numFmtId="165" fontId="0" fillId="3" borderId="7" xfId="0" applyNumberFormat="1" applyFill="1" applyBorder="1" applyProtection="1">
      <protection locked="0"/>
    </xf>
    <xf numFmtId="165" fontId="0" fillId="3" borderId="8" xfId="0" applyNumberFormat="1" applyFill="1" applyBorder="1" applyProtection="1">
      <protection locked="0"/>
    </xf>
    <xf numFmtId="165" fontId="0" fillId="3" borderId="9" xfId="0" applyNumberFormat="1" applyFill="1" applyBorder="1" applyProtection="1">
      <protection locked="0"/>
    </xf>
    <xf numFmtId="165" fontId="0" fillId="3" borderId="10" xfId="0" applyNumberFormat="1" applyFill="1" applyBorder="1" applyProtection="1">
      <protection locked="0"/>
    </xf>
    <xf numFmtId="0" fontId="10" fillId="0" borderId="4" xfId="0" applyFont="1" applyBorder="1" applyAlignment="1" applyProtection="1">
      <alignment horizontal="left" vertical="center"/>
      <protection locked="0"/>
    </xf>
    <xf numFmtId="0" fontId="0" fillId="3" borderId="9" xfId="0" applyFill="1" applyBorder="1" applyAlignment="1" applyProtection="1">
      <alignment horizontal="left" vertical="center"/>
      <protection locked="0"/>
    </xf>
    <xf numFmtId="0" fontId="10" fillId="3" borderId="9" xfId="0" applyFont="1" applyFill="1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right" vertical="center"/>
      <protection locked="0"/>
    </xf>
    <xf numFmtId="0" fontId="9" fillId="0" borderId="14" xfId="0" applyFont="1" applyBorder="1" applyAlignment="1" applyProtection="1">
      <alignment horizontal="left" vertical="center"/>
      <protection locked="0"/>
    </xf>
    <xf numFmtId="0" fontId="9" fillId="0" borderId="16" xfId="0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0">
    <dxf>
      <alignment vertical="center"/>
    </dxf>
    <dxf>
      <alignment horizontal="center"/>
    </dxf>
    <dxf>
      <numFmt numFmtId="11" formatCode="&quot;₹&quot;\ #,##0.00;&quot;₹&quot;\ \-#,##0.00"/>
    </dxf>
    <dxf>
      <numFmt numFmtId="19" formatCode="dd/mm/yyyy"/>
    </dxf>
    <dxf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6</xdr:row>
          <xdr:rowOff>68580</xdr:rowOff>
        </xdr:from>
        <xdr:to>
          <xdr:col>10</xdr:col>
          <xdr:colOff>518160</xdr:colOff>
          <xdr:row>9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Add New Transport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10</xdr:row>
          <xdr:rowOff>38100</xdr:rowOff>
        </xdr:from>
        <xdr:to>
          <xdr:col>10</xdr:col>
          <xdr:colOff>525780</xdr:colOff>
          <xdr:row>12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Add New Item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14</xdr:row>
          <xdr:rowOff>76200</xdr:rowOff>
        </xdr:from>
        <xdr:to>
          <xdr:col>10</xdr:col>
          <xdr:colOff>525780</xdr:colOff>
          <xdr:row>16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Print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12</xdr:row>
          <xdr:rowOff>76200</xdr:rowOff>
        </xdr:from>
        <xdr:to>
          <xdr:col>10</xdr:col>
          <xdr:colOff>525780</xdr:colOff>
          <xdr:row>14</xdr:row>
          <xdr:rowOff>53340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Add New Party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16</xdr:row>
          <xdr:rowOff>114300</xdr:rowOff>
        </xdr:from>
        <xdr:to>
          <xdr:col>11</xdr:col>
          <xdr:colOff>0</xdr:colOff>
          <xdr:row>18</xdr:row>
          <xdr:rowOff>106680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  Save as XLSX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335280</xdr:colOff>
          <xdr:row>23</xdr:row>
          <xdr:rowOff>114300</xdr:rowOff>
        </xdr:from>
        <xdr:to>
          <xdr:col>11</xdr:col>
          <xdr:colOff>38100</xdr:colOff>
          <xdr:row>25</xdr:row>
          <xdr:rowOff>114300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Next Invoice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26</xdr:row>
          <xdr:rowOff>22860</xdr:rowOff>
        </xdr:from>
        <xdr:to>
          <xdr:col>11</xdr:col>
          <xdr:colOff>53340</xdr:colOff>
          <xdr:row>28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 Clear Content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21</xdr:row>
          <xdr:rowOff>60960</xdr:rowOff>
        </xdr:from>
        <xdr:to>
          <xdr:col>11</xdr:col>
          <xdr:colOff>30480</xdr:colOff>
          <xdr:row>23</xdr:row>
          <xdr:rowOff>99060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Add To Record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18</xdr:row>
          <xdr:rowOff>144780</xdr:rowOff>
        </xdr:from>
        <xdr:to>
          <xdr:col>10</xdr:col>
          <xdr:colOff>525780</xdr:colOff>
          <xdr:row>21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                  Save As PDF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k mukesh" refreshedDate="45382.548739930557" createdVersion="6" refreshedVersion="8" minRefreshableVersion="3" recordCount="308" xr:uid="{482AA6C0-8DA9-4F79-8751-59108D5F0681}">
  <cacheSource type="worksheet">
    <worksheetSource name="Table1"/>
  </cacheSource>
  <cacheFields count="7">
    <cacheField name="Invoice No." numFmtId="0">
      <sharedItems containsString="0" containsBlank="1" containsNumber="1" containsInteger="1" minValue="1414" maxValue="3638" count="2193">
        <m/>
        <n v="3638"/>
        <n v="3329" u="1"/>
        <n v="3330" u="1"/>
        <n v="3331" u="1"/>
        <n v="3332" u="1"/>
        <n v="3333" u="1"/>
        <n v="3334" u="1"/>
        <n v="3335" u="1"/>
        <n v="3336" u="1"/>
        <n v="3337" u="1"/>
        <n v="3338" u="1"/>
        <n v="3339" u="1"/>
        <n v="3340" u="1"/>
        <n v="3341" u="1"/>
        <n v="3342" u="1"/>
        <n v="3343" u="1"/>
        <n v="3344" u="1"/>
        <n v="3345" u="1"/>
        <n v="3346" u="1"/>
        <n v="3347" u="1"/>
        <n v="3348" u="1"/>
        <n v="3349" u="1"/>
        <n v="3350" u="1"/>
        <n v="3351" u="1"/>
        <n v="3352" u="1"/>
        <n v="3353" u="1"/>
        <n v="3354" u="1"/>
        <n v="3355" u="1"/>
        <n v="3356" u="1"/>
        <n v="3357" u="1"/>
        <n v="3358" u="1"/>
        <n v="3359" u="1"/>
        <n v="3360" u="1"/>
        <n v="3361" u="1"/>
        <n v="3362" u="1"/>
        <n v="3363" u="1"/>
        <n v="3364" u="1"/>
        <n v="3365" u="1"/>
        <n v="3366" u="1"/>
        <n v="3367" u="1"/>
        <n v="3368" u="1"/>
        <n v="3369" u="1"/>
        <n v="3370" u="1"/>
        <n v="3371" u="1"/>
        <n v="3372" u="1"/>
        <n v="3373" u="1"/>
        <n v="3374" u="1"/>
        <n v="3375" u="1"/>
        <n v="3376" u="1"/>
        <n v="3377" u="1"/>
        <n v="3378" u="1"/>
        <n v="3379" u="1"/>
        <n v="3380" u="1"/>
        <n v="3381" u="1"/>
        <n v="3382" u="1"/>
        <n v="3383" u="1"/>
        <n v="3384" u="1"/>
        <n v="3385" u="1"/>
        <n v="3386" u="1"/>
        <n v="3387" u="1"/>
        <n v="3388" u="1"/>
        <n v="3389" u="1"/>
        <n v="3390" u="1"/>
        <n v="3391" u="1"/>
        <n v="3392" u="1"/>
        <n v="3393" u="1"/>
        <n v="3394" u="1"/>
        <n v="3395" u="1"/>
        <n v="3396" u="1"/>
        <n v="3397" u="1"/>
        <n v="3398" u="1"/>
        <n v="3399" u="1"/>
        <n v="3400" u="1"/>
        <n v="3401" u="1"/>
        <n v="3402" u="1"/>
        <n v="3403" u="1"/>
        <n v="3404" u="1"/>
        <n v="3405" u="1"/>
        <n v="3406" u="1"/>
        <n v="3407" u="1"/>
        <n v="3408" u="1"/>
        <n v="3409" u="1"/>
        <n v="3410" u="1"/>
        <n v="3411" u="1"/>
        <n v="3412" u="1"/>
        <n v="3413" u="1"/>
        <n v="3414" u="1"/>
        <n v="3415" u="1"/>
        <n v="3416" u="1"/>
        <n v="3417" u="1"/>
        <n v="3418" u="1"/>
        <n v="3419" u="1"/>
        <n v="3420" u="1"/>
        <n v="3421" u="1"/>
        <n v="3422" u="1"/>
        <n v="3423" u="1"/>
        <n v="3424" u="1"/>
        <n v="3425" u="1"/>
        <n v="3426" u="1"/>
        <n v="3427" u="1"/>
        <n v="3428" u="1"/>
        <n v="3429" u="1"/>
        <n v="3430" u="1"/>
        <n v="3431" u="1"/>
        <n v="3432" u="1"/>
        <n v="3433" u="1"/>
        <n v="3434" u="1"/>
        <n v="3435" u="1"/>
        <n v="3436" u="1"/>
        <n v="3437" u="1"/>
        <n v="3438" u="1"/>
        <n v="3439" u="1"/>
        <n v="3440" u="1"/>
        <n v="3441" u="1"/>
        <n v="3442" u="1"/>
        <n v="3443" u="1"/>
        <n v="3444" u="1"/>
        <n v="3445" u="1"/>
        <n v="3446" u="1"/>
        <n v="3447" u="1"/>
        <n v="3448" u="1"/>
        <n v="3449" u="1"/>
        <n v="3450" u="1"/>
        <n v="3451" u="1"/>
        <n v="3452" u="1"/>
        <n v="3453" u="1"/>
        <n v="3454" u="1"/>
        <n v="3455" u="1"/>
        <n v="3456" u="1"/>
        <n v="3457" u="1"/>
        <n v="3458" u="1"/>
        <n v="3459" u="1"/>
        <n v="3460" u="1"/>
        <n v="3461" u="1"/>
        <n v="3462" u="1"/>
        <n v="3463" u="1"/>
        <n v="3464" u="1"/>
        <n v="3465" u="1"/>
        <n v="3466" u="1"/>
        <n v="3467" u="1"/>
        <n v="3468" u="1"/>
        <n v="3469" u="1"/>
        <n v="3470" u="1"/>
        <n v="3471" u="1"/>
        <n v="3472" u="1"/>
        <n v="3473" u="1"/>
        <n v="3474" u="1"/>
        <n v="3475" u="1"/>
        <n v="3476" u="1"/>
        <n v="3477" u="1"/>
        <n v="3478" u="1"/>
        <n v="3479" u="1"/>
        <n v="3480" u="1"/>
        <n v="3481" u="1"/>
        <n v="3482" u="1"/>
        <n v="3483" u="1"/>
        <n v="3484" u="1"/>
        <n v="3485" u="1"/>
        <n v="3486" u="1"/>
        <n v="3487" u="1"/>
        <n v="3488" u="1"/>
        <n v="3489" u="1"/>
        <n v="3490" u="1"/>
        <n v="3491" u="1"/>
        <n v="3492" u="1"/>
        <n v="3493" u="1"/>
        <n v="3494" u="1"/>
        <n v="3495" u="1"/>
        <n v="3496" u="1"/>
        <n v="3497" u="1"/>
        <n v="3498" u="1"/>
        <n v="3499" u="1"/>
        <n v="3500" u="1"/>
        <n v="3501" u="1"/>
        <n v="3502" u="1"/>
        <n v="3503" u="1"/>
        <n v="3504" u="1"/>
        <n v="3505" u="1"/>
        <n v="3506" u="1"/>
        <n v="3507" u="1"/>
        <n v="3508" u="1"/>
        <n v="3509" u="1"/>
        <n v="3510" u="1"/>
        <n v="3511" u="1"/>
        <n v="3512" u="1"/>
        <n v="3513" u="1"/>
        <n v="3514" u="1"/>
        <n v="3515" u="1"/>
        <n v="3516" u="1"/>
        <n v="3517" u="1"/>
        <n v="3518" u="1"/>
        <n v="3519" u="1"/>
        <n v="3520" u="1"/>
        <n v="3521" u="1"/>
        <n v="3522" u="1"/>
        <n v="3523" u="1"/>
        <n v="3524" u="1"/>
        <n v="3525" u="1"/>
        <n v="3526" u="1"/>
        <n v="3527" u="1"/>
        <n v="3528" u="1"/>
        <n v="3529" u="1"/>
        <n v="3530" u="1"/>
        <n v="3531" u="1"/>
        <n v="3532" u="1"/>
        <n v="3533" u="1"/>
        <n v="3534" u="1"/>
        <n v="3535" u="1"/>
        <n v="3536" u="1"/>
        <n v="3537" u="1"/>
        <n v="3538" u="1"/>
        <n v="3539" u="1"/>
        <n v="3540" u="1"/>
        <n v="3541" u="1"/>
        <n v="3542" u="1"/>
        <n v="3543" u="1"/>
        <n v="3544" u="1"/>
        <n v="3545" u="1"/>
        <n v="3546" u="1"/>
        <n v="3547" u="1"/>
        <n v="3548" u="1"/>
        <n v="3549" u="1"/>
        <n v="3550" u="1"/>
        <n v="3551" u="1"/>
        <n v="3552" u="1"/>
        <n v="3553" u="1"/>
        <n v="3554" u="1"/>
        <n v="3555" u="1"/>
        <n v="3556" u="1"/>
        <n v="3557" u="1"/>
        <n v="3558" u="1"/>
        <n v="3559" u="1"/>
        <n v="3560" u="1"/>
        <n v="3561" u="1"/>
        <n v="3562" u="1"/>
        <n v="3563" u="1"/>
        <n v="3564" u="1"/>
        <n v="3565" u="1"/>
        <n v="3566" u="1"/>
        <n v="3567" u="1"/>
        <n v="3568" u="1"/>
        <n v="3569" u="1"/>
        <n v="3570" u="1"/>
        <n v="3571" u="1"/>
        <n v="3572" u="1"/>
        <n v="3573" u="1"/>
        <n v="3574" u="1"/>
        <n v="3575" u="1"/>
        <n v="3576" u="1"/>
        <n v="3577" u="1"/>
        <n v="3578" u="1"/>
        <n v="3579" u="1"/>
        <n v="3580" u="1"/>
        <n v="3581" u="1"/>
        <n v="3582" u="1"/>
        <n v="3583" u="1"/>
        <n v="3584" u="1"/>
        <n v="3585" u="1"/>
        <n v="3586" u="1"/>
        <n v="3587" u="1"/>
        <n v="3588" u="1"/>
        <n v="3589" u="1"/>
        <n v="3590" u="1"/>
        <n v="3591" u="1"/>
        <n v="3593" u="1"/>
        <n v="3594" u="1"/>
        <n v="3595" u="1"/>
        <n v="3596" u="1"/>
        <n v="3597" u="1"/>
        <n v="3598" u="1"/>
        <n v="3599" u="1"/>
        <n v="3600" u="1"/>
        <n v="3601" u="1"/>
        <n v="3602" u="1"/>
        <n v="3603" u="1"/>
        <n v="3604" u="1"/>
        <n v="3605" u="1"/>
        <n v="3606" u="1"/>
        <n v="3607" u="1"/>
        <n v="3608" u="1"/>
        <n v="3609" u="1"/>
        <n v="3610" u="1"/>
        <n v="3611" u="1"/>
        <n v="3612" u="1"/>
        <n v="3613" u="1"/>
        <n v="3614" u="1"/>
        <n v="3615" u="1"/>
        <n v="3616" u="1"/>
        <n v="3617" u="1"/>
        <n v="3618" u="1"/>
        <n v="3619" u="1"/>
        <n v="3621" u="1"/>
        <n v="3622" u="1"/>
        <n v="3623" u="1"/>
        <n v="3624" u="1"/>
        <n v="3625" u="1"/>
        <n v="3626" u="1"/>
        <n v="3627" u="1"/>
        <n v="3628" u="1"/>
        <n v="3629" u="1"/>
        <n v="3630" u="1"/>
        <n v="3631" u="1"/>
        <n v="3632" u="1"/>
        <n v="3633" u="1"/>
        <n v="3634" u="1"/>
        <n v="3635" u="1"/>
        <n v="3636" u="1"/>
        <n v="3637" u="1"/>
        <n v="2515" u="1"/>
        <n v="2558" u="1"/>
        <n v="1755" u="1"/>
        <n v="2601" u="1"/>
        <n v="2644" u="1"/>
        <n v="1798" u="1"/>
        <n v="2687" u="1"/>
        <n v="2730" u="1"/>
        <n v="1841" u="1"/>
        <n v="2773" u="1"/>
        <n v="2816" u="1"/>
        <n v="1884" u="1"/>
        <n v="2859" u="1"/>
        <n v="2902" u="1"/>
        <n v="1927" u="1"/>
        <n v="2945" u="1"/>
        <n v="2988" u="1"/>
        <n v="1970" u="1"/>
        <n v="1422" u="1"/>
        <n v="3031" u="1"/>
        <n v="3074" u="1"/>
        <n v="2013" u="1"/>
        <n v="1465" u="1"/>
        <n v="3117" u="1"/>
        <n v="3160" u="1"/>
        <n v="2064" u="1"/>
        <n v="1508" u="1"/>
        <n v="3203" u="1"/>
        <n v="2107" u="1"/>
        <n v="3246" u="1"/>
        <n v="2150" u="1"/>
        <n v="1551" u="1"/>
        <n v="3289" u="1"/>
        <n v="2193" u="1"/>
        <n v="2236" u="1"/>
        <n v="1594" u="1"/>
        <n v="2279" u="1"/>
        <n v="2322" u="1"/>
        <n v="1637" u="1"/>
        <n v="2365" u="1"/>
        <n v="2408" u="1"/>
        <n v="1680" u="1"/>
        <n v="2451" u="1"/>
        <n v="2494" u="1"/>
        <n v="1723" u="1"/>
        <n v="2537" u="1"/>
        <n v="2580" u="1"/>
        <n v="1766" u="1"/>
        <n v="2623" u="1"/>
        <n v="2666" u="1"/>
        <n v="1809" u="1"/>
        <n v="2709" u="1"/>
        <n v="2752" u="1"/>
        <n v="1852" u="1"/>
        <n v="2795" u="1"/>
        <n v="2838" u="1"/>
        <n v="1895" u="1"/>
        <n v="2881" u="1"/>
        <n v="2924" u="1"/>
        <n v="1938" u="1"/>
        <n v="2967" u="1"/>
        <n v="3010" u="1"/>
        <n v="1981" u="1"/>
        <n v="1433" u="1"/>
        <n v="3053" u="1"/>
        <n v="3096" u="1"/>
        <n v="2024" u="1"/>
        <n v="1476" u="1"/>
        <n v="3139" u="1"/>
        <n v="3182" u="1"/>
        <n v="1519" u="1"/>
        <n v="3225" u="1"/>
        <n v="2129" u="1"/>
        <n v="3268" u="1"/>
        <n v="2172" u="1"/>
        <n v="1562" u="1"/>
        <n v="3311" u="1"/>
        <n v="2215" u="1"/>
        <n v="2258" u="1"/>
        <n v="1605" u="1"/>
        <n v="2301" u="1"/>
        <n v="2344" u="1"/>
        <n v="1648" u="1"/>
        <n v="2387" u="1"/>
        <n v="2430" u="1"/>
        <n v="1691" u="1"/>
        <n v="2473" u="1"/>
        <n v="2516" u="1"/>
        <n v="1734" u="1"/>
        <n v="2559" u="1"/>
        <n v="2602" u="1"/>
        <n v="1777" u="1"/>
        <n v="2645" u="1"/>
        <n v="2688" u="1"/>
        <n v="2731" u="1"/>
        <n v="2774" u="1"/>
        <n v="1863" u="1"/>
        <n v="2817" u="1"/>
        <n v="2860" u="1"/>
        <n v="1906" u="1"/>
        <n v="2903" u="1"/>
        <n v="2946" u="1"/>
        <n v="1949" u="1"/>
        <n v="2989" u="1"/>
        <n v="3032" u="1"/>
        <n v="1992" u="1"/>
        <n v="1444" u="1"/>
        <n v="3075" u="1"/>
        <n v="3118" u="1"/>
        <n v="2035" u="1"/>
        <n v="1487" u="1"/>
        <n v="3161" u="1"/>
        <n v="2065" u="1"/>
        <n v="3204" u="1"/>
        <n v="2108" u="1"/>
        <n v="1530" u="1"/>
        <n v="3247" u="1"/>
        <n v="2151" u="1"/>
        <n v="3290" u="1"/>
        <n v="2194" u="1"/>
        <n v="2237" u="1"/>
        <n v="2280" u="1"/>
        <n v="1616" u="1"/>
        <n v="2323" u="1"/>
        <n v="2366" u="1"/>
        <n v="1659" u="1"/>
        <n v="2409" u="1"/>
        <n v="2452" u="1"/>
        <n v="1702" u="1"/>
        <n v="2495" u="1"/>
        <n v="2538" u="1"/>
        <n v="1745" u="1"/>
        <n v="2581" u="1"/>
        <n v="2624" u="1"/>
        <n v="1788" u="1"/>
        <n v="2667" u="1"/>
        <n v="2710" u="1"/>
        <n v="1831" u="1"/>
        <n v="2753" u="1"/>
        <n v="2796" u="1"/>
        <n v="1874" u="1"/>
        <n v="2839" u="1"/>
        <n v="2882" u="1"/>
        <n v="1917" u="1"/>
        <n v="2925" u="1"/>
        <n v="2968" u="1"/>
        <n v="1960" u="1"/>
        <n v="3011" u="1"/>
        <n v="3054" u="1"/>
        <n v="2003" u="1"/>
        <n v="1455" u="1"/>
        <n v="3097" u="1"/>
        <n v="3140" u="1"/>
        <n v="2046" u="1"/>
        <n v="1498" u="1"/>
        <n v="3183" u="1"/>
        <n v="3226" u="1"/>
        <n v="2130" u="1"/>
        <n v="1541" u="1"/>
        <n v="3269" u="1"/>
        <n v="2173" u="1"/>
        <n v="3312" u="1"/>
        <n v="2216" u="1"/>
        <n v="1584" u="1"/>
        <n v="2259" u="1"/>
        <n v="2302" u="1"/>
        <n v="1627" u="1"/>
        <n v="2345" u="1"/>
        <n v="2388" u="1"/>
        <n v="1670" u="1"/>
        <n v="2431" u="1"/>
        <n v="2474" u="1"/>
        <n v="1713" u="1"/>
        <n v="2517" u="1"/>
        <n v="2560" u="1"/>
        <n v="1756" u="1"/>
        <n v="2603" u="1"/>
        <n v="2646" u="1"/>
        <n v="2689" u="1"/>
        <n v="2732" u="1"/>
        <n v="1842" u="1"/>
        <n v="2775" u="1"/>
        <n v="2818" u="1"/>
        <n v="1885" u="1"/>
        <n v="2861" u="1"/>
        <n v="2904" u="1"/>
        <n v="1928" u="1"/>
        <n v="2947" u="1"/>
        <n v="2990" u="1"/>
        <n v="1971" u="1"/>
        <n v="1423" u="1"/>
        <n v="3033" u="1"/>
        <n v="3076" u="1"/>
        <n v="2014" u="1"/>
        <n v="1466" u="1"/>
        <n v="3119" u="1"/>
        <n v="3162" u="1"/>
        <n v="2066" u="1"/>
        <n v="1509" u="1"/>
        <n v="3205" u="1"/>
        <n v="2109" u="1"/>
        <n v="3248" u="1"/>
        <n v="2152" u="1"/>
        <n v="1552" u="1"/>
        <n v="3291" u="1"/>
        <n v="2195" u="1"/>
        <n v="2238" u="1"/>
        <n v="1595" u="1"/>
        <n v="2281" u="1"/>
        <n v="2324" u="1"/>
        <n v="1638" u="1"/>
        <n v="2367" u="1"/>
        <n v="2410" u="1"/>
        <n v="1681" u="1"/>
        <n v="2453" u="1"/>
        <n v="2496" u="1"/>
        <n v="1724" u="1"/>
        <n v="2539" u="1"/>
        <n v="2582" u="1"/>
        <n v="1767" u="1"/>
        <n v="2625" u="1"/>
        <n v="2668" u="1"/>
        <n v="1810" u="1"/>
        <n v="2711" u="1"/>
        <n v="2754" u="1"/>
        <n v="1853" u="1"/>
        <n v="2797" u="1"/>
        <n v="2840" u="1"/>
        <n v="1896" u="1"/>
        <n v="2883" u="1"/>
        <n v="2926" u="1"/>
        <n v="1939" u="1"/>
        <n v="2969" u="1"/>
        <n v="3012" u="1"/>
        <n v="1982" u="1"/>
        <n v="1434" u="1"/>
        <n v="3055" u="1"/>
        <n v="3098" u="1"/>
        <n v="2025" u="1"/>
        <n v="1477" u="1"/>
        <n v="3141" u="1"/>
        <n v="3184" u="1"/>
        <n v="1520" u="1"/>
        <n v="3227" u="1"/>
        <n v="2131" u="1"/>
        <n v="3270" u="1"/>
        <n v="2174" u="1"/>
        <n v="1563" u="1"/>
        <n v="3313" u="1"/>
        <n v="2217" u="1"/>
        <n v="2260" u="1"/>
        <n v="1606" u="1"/>
        <n v="2303" u="1"/>
        <n v="2346" u="1"/>
        <n v="1649" u="1"/>
        <n v="2389" u="1"/>
        <n v="2432" u="1"/>
        <n v="1692" u="1"/>
        <n v="2475" u="1"/>
        <n v="2518" u="1"/>
        <n v="2561" u="1"/>
        <n v="2604" u="1"/>
        <n v="1778" u="1"/>
        <n v="2647" u="1"/>
        <n v="2690" u="1"/>
        <n v="2733" u="1"/>
        <n v="2776" u="1"/>
        <n v="1864" u="1"/>
        <n v="2819" u="1"/>
        <n v="2862" u="1"/>
        <n v="1907" u="1"/>
        <n v="2905" u="1"/>
        <n v="2948" u="1"/>
        <n v="1950" u="1"/>
        <n v="2991" u="1"/>
        <n v="3034" u="1"/>
        <n v="1993" u="1"/>
        <n v="1445" u="1"/>
        <n v="3077" u="1"/>
        <n v="3120" u="1"/>
        <n v="2036" u="1"/>
        <n v="1488" u="1"/>
        <n v="3163" u="1"/>
        <n v="2067" u="1"/>
        <n v="3206" u="1"/>
        <n v="2110" u="1"/>
        <n v="1531" u="1"/>
        <n v="3249" u="1"/>
        <n v="2153" u="1"/>
        <n v="3292" u="1"/>
        <n v="2196" u="1"/>
        <n v="1574" u="1"/>
        <n v="2239" u="1"/>
        <n v="2282" u="1"/>
        <n v="1617" u="1"/>
        <n v="2325" u="1"/>
        <n v="2368" u="1"/>
        <n v="1660" u="1"/>
        <n v="2411" u="1"/>
        <n v="2454" u="1"/>
        <n v="1703" u="1"/>
        <n v="2497" u="1"/>
        <n v="2540" u="1"/>
        <n v="1746" u="1"/>
        <n v="2583" u="1"/>
        <n v="2626" u="1"/>
        <n v="1789" u="1"/>
        <n v="2669" u="1"/>
        <n v="2712" u="1"/>
        <n v="1832" u="1"/>
        <n v="2755" u="1"/>
        <n v="2798" u="1"/>
        <n v="2841" u="1"/>
        <n v="2884" u="1"/>
        <n v="1918" u="1"/>
        <n v="2927" u="1"/>
        <n v="2970" u="1"/>
        <n v="1961" u="1"/>
        <n v="3013" u="1"/>
        <n v="3056" u="1"/>
        <n v="2004" u="1"/>
        <n v="1456" u="1"/>
        <n v="3099" u="1"/>
        <n v="3142" u="1"/>
        <n v="2047" u="1"/>
        <n v="1499" u="1"/>
        <n v="3185" u="1"/>
        <n v="2089" u="1"/>
        <n v="3228" u="1"/>
        <n v="2132" u="1"/>
        <n v="1542" u="1"/>
        <n v="3271" u="1"/>
        <n v="2175" u="1"/>
        <n v="3314" u="1"/>
        <n v="2218" u="1"/>
        <n v="1585" u="1"/>
        <n v="2261" u="1"/>
        <n v="2304" u="1"/>
        <n v="1628" u="1"/>
        <n v="2347" u="1"/>
        <n v="2390" u="1"/>
        <n v="1671" u="1"/>
        <n v="2433" u="1"/>
        <n v="2476" u="1"/>
        <n v="2519" u="1"/>
        <n v="2562" u="1"/>
        <n v="1757" u="1"/>
        <n v="2605" u="1"/>
        <n v="2648" u="1"/>
        <n v="1800" u="1"/>
        <n v="2691" u="1"/>
        <n v="2734" u="1"/>
        <n v="2777" u="1"/>
        <n v="2820" u="1"/>
        <n v="1886" u="1"/>
        <n v="2863" u="1"/>
        <n v="2906" u="1"/>
        <n v="1929" u="1"/>
        <n v="2949" u="1"/>
        <n v="2992" u="1"/>
        <n v="1972" u="1"/>
        <n v="1424" u="1"/>
        <n v="3035" u="1"/>
        <n v="3078" u="1"/>
        <n v="2015" u="1"/>
        <n v="1467" u="1"/>
        <n v="3121" u="1"/>
        <n v="3164" u="1"/>
        <n v="2068" u="1"/>
        <n v="1510" u="1"/>
        <n v="3207" u="1"/>
        <n v="2111" u="1"/>
        <n v="3250" u="1"/>
        <n v="2154" u="1"/>
        <n v="1553" u="1"/>
        <n v="3293" u="1"/>
        <n v="2197" u="1"/>
        <n v="2240" u="1"/>
        <n v="1596" u="1"/>
        <n v="2283" u="1"/>
        <n v="2326" u="1"/>
        <n v="1639" u="1"/>
        <n v="2369" u="1"/>
        <n v="2412" u="1"/>
        <n v="1682" u="1"/>
        <n v="2455" u="1"/>
        <n v="2498" u="1"/>
        <n v="1725" u="1"/>
        <n v="2541" u="1"/>
        <n v="2584" u="1"/>
        <n v="1768" u="1"/>
        <n v="2627" u="1"/>
        <n v="2670" u="1"/>
        <n v="1811" u="1"/>
        <n v="2713" u="1"/>
        <n v="2756" u="1"/>
        <n v="1854" u="1"/>
        <n v="2799" u="1"/>
        <n v="1897" u="1"/>
        <n v="2885" u="1"/>
        <n v="2928" u="1"/>
        <n v="1940" u="1"/>
        <n v="2971" u="1"/>
        <n v="3014" u="1"/>
        <n v="1983" u="1"/>
        <n v="1435" u="1"/>
        <n v="3057" u="1"/>
        <n v="3100" u="1"/>
        <n v="2026" u="1"/>
        <n v="1478" u="1"/>
        <n v="3143" u="1"/>
        <n v="3186" u="1"/>
        <n v="2090" u="1"/>
        <n v="1521" u="1"/>
        <n v="3229" u="1"/>
        <n v="2133" u="1"/>
        <n v="3272" u="1"/>
        <n v="2176" u="1"/>
        <n v="1564" u="1"/>
        <n v="3315" u="1"/>
        <n v="2219" u="1"/>
        <n v="2262" u="1"/>
        <n v="2305" u="1"/>
        <n v="2348" u="1"/>
        <n v="1650" u="1"/>
        <n v="2391" u="1"/>
        <n v="2434" u="1"/>
        <n v="1693" u="1"/>
        <n v="2477" u="1"/>
        <n v="2520" u="1"/>
        <n v="1736" u="1"/>
        <n v="2563" u="1"/>
        <n v="2606" u="1"/>
        <n v="1779" u="1"/>
        <n v="2649" u="1"/>
        <n v="2692" u="1"/>
        <n v="1822" u="1"/>
        <n v="2735" u="1"/>
        <n v="2778" u="1"/>
        <n v="1865" u="1"/>
        <n v="2821" u="1"/>
        <n v="2864" u="1"/>
        <n v="1908" u="1"/>
        <n v="2907" u="1"/>
        <n v="2950" u="1"/>
        <n v="1951" u="1"/>
        <n v="2993" u="1"/>
        <n v="3036" u="1"/>
        <n v="1994" u="1"/>
        <n v="1446" u="1"/>
        <n v="3079" u="1"/>
        <n v="3122" u="1"/>
        <n v="2037" u="1"/>
        <n v="1489" u="1"/>
        <n v="3165" u="1"/>
        <n v="2069" u="1"/>
        <n v="3208" u="1"/>
        <n v="2112" u="1"/>
        <n v="1532" u="1"/>
        <n v="3251" u="1"/>
        <n v="2155" u="1"/>
        <n v="3294" u="1"/>
        <n v="2198" u="1"/>
        <n v="1575" u="1"/>
        <n v="2241" u="1"/>
        <n v="2284" u="1"/>
        <n v="1618" u="1"/>
        <n v="2327" u="1"/>
        <n v="2370" u="1"/>
        <n v="1661" u="1"/>
        <n v="2413" u="1"/>
        <n v="2456" u="1"/>
        <n v="1704" u="1"/>
        <n v="2499" u="1"/>
        <n v="2542" u="1"/>
        <n v="1747" u="1"/>
        <n v="2585" u="1"/>
        <n v="2628" u="1"/>
        <n v="1790" u="1"/>
        <n v="2671" u="1"/>
        <n v="2714" u="1"/>
        <n v="1833" u="1"/>
        <n v="2757" u="1"/>
        <n v="2800" u="1"/>
        <n v="1876" u="1"/>
        <n v="2843" u="1"/>
        <n v="2886" u="1"/>
        <n v="1919" u="1"/>
        <n v="2929" u="1"/>
        <n v="2972" u="1"/>
        <n v="1962" u="1"/>
        <n v="1414" u="1"/>
        <n v="3015" u="1"/>
        <n v="3058" u="1"/>
        <n v="2005" u="1"/>
        <n v="1457" u="1"/>
        <n v="3101" u="1"/>
        <n v="3144" u="1"/>
        <n v="2048" u="1"/>
        <n v="1500" u="1"/>
        <n v="3187" u="1"/>
        <n v="2091" u="1"/>
        <n v="3230" u="1"/>
        <n v="2134" u="1"/>
        <n v="1543" u="1"/>
        <n v="3273" u="1"/>
        <n v="2177" u="1"/>
        <n v="3316" u="1"/>
        <n v="2220" u="1"/>
        <n v="1586" u="1"/>
        <n v="2263" u="1"/>
        <n v="2306" u="1"/>
        <n v="1629" u="1"/>
        <n v="2349" u="1"/>
        <n v="2392" u="1"/>
        <n v="1672" u="1"/>
        <n v="2435" u="1"/>
        <n v="2478" u="1"/>
        <n v="1715" u="1"/>
        <n v="2521" u="1"/>
        <n v="2564" u="1"/>
        <n v="1758" u="1"/>
        <n v="2607" u="1"/>
        <n v="2650" u="1"/>
        <n v="1801" u="1"/>
        <n v="2693" u="1"/>
        <n v="2736" u="1"/>
        <n v="1844" u="1"/>
        <n v="2779" u="1"/>
        <n v="2822" u="1"/>
        <n v="1887" u="1"/>
        <n v="2865" u="1"/>
        <n v="2908" u="1"/>
        <n v="1930" u="1"/>
        <n v="2951" u="1"/>
        <n v="2994" u="1"/>
        <n v="1973" u="1"/>
        <n v="1425" u="1"/>
        <n v="3037" u="1"/>
        <n v="3080" u="1"/>
        <n v="2016" u="1"/>
        <n v="1468" u="1"/>
        <n v="3123" u="1"/>
        <n v="3166" u="1"/>
        <n v="2070" u="1"/>
        <n v="1511" u="1"/>
        <n v="3209" u="1"/>
        <n v="2113" u="1"/>
        <n v="3252" u="1"/>
        <n v="2156" u="1"/>
        <n v="1554" u="1"/>
        <n v="3295" u="1"/>
        <n v="2199" u="1"/>
        <n v="2242" u="1"/>
        <n v="1597" u="1"/>
        <n v="2285" u="1"/>
        <n v="2328" u="1"/>
        <n v="1640" u="1"/>
        <n v="2371" u="1"/>
        <n v="2414" u="1"/>
        <n v="2457" u="1"/>
        <n v="2500" u="1"/>
        <n v="1726" u="1"/>
        <n v="2543" u="1"/>
        <n v="2586" u="1"/>
        <n v="1769" u="1"/>
        <n v="2629" u="1"/>
        <n v="2672" u="1"/>
        <n v="1812" u="1"/>
        <n v="2715" u="1"/>
        <n v="2758" u="1"/>
        <n v="1855" u="1"/>
        <n v="2801" u="1"/>
        <n v="2844" u="1"/>
        <n v="1898" u="1"/>
        <n v="2887" u="1"/>
        <n v="2930" u="1"/>
        <n v="1941" u="1"/>
        <n v="2973" u="1"/>
        <n v="3016" u="1"/>
        <n v="1984" u="1"/>
        <n v="1436" u="1"/>
        <n v="3059" u="1"/>
        <n v="3102" u="1"/>
        <n v="2027" u="1"/>
        <n v="1479" u="1"/>
        <n v="3145" u="1"/>
        <n v="2049" u="1"/>
        <n v="3188" u="1"/>
        <n v="2092" u="1"/>
        <n v="3231" u="1"/>
        <n v="2135" u="1"/>
        <n v="3274" u="1"/>
        <n v="2178" u="1"/>
        <n v="1565" u="1"/>
        <n v="3317" u="1"/>
        <n v="2221" u="1"/>
        <n v="2264" u="1"/>
        <n v="1608" u="1"/>
        <n v="2307" u="1"/>
        <n v="2350" u="1"/>
        <n v="1651" u="1"/>
        <n v="2393" u="1"/>
        <n v="2436" u="1"/>
        <n v="1694" u="1"/>
        <n v="2479" u="1"/>
        <n v="2522" u="1"/>
        <n v="1737" u="1"/>
        <n v="2565" u="1"/>
        <n v="2608" u="1"/>
        <n v="1780" u="1"/>
        <n v="2651" u="1"/>
        <n v="2694" u="1"/>
        <n v="1823" u="1"/>
        <n v="2737" u="1"/>
        <n v="2780" u="1"/>
        <n v="1866" u="1"/>
        <n v="2823" u="1"/>
        <n v="2866" u="1"/>
        <n v="1909" u="1"/>
        <n v="2909" u="1"/>
        <n v="2952" u="1"/>
        <n v="1952" u="1"/>
        <n v="2995" u="1"/>
        <n v="3038" u="1"/>
        <n v="1995" u="1"/>
        <n v="1447" u="1"/>
        <n v="3081" u="1"/>
        <n v="3124" u="1"/>
        <n v="2038" u="1"/>
        <n v="3167" u="1"/>
        <n v="2071" u="1"/>
        <n v="3210" u="1"/>
        <n v="2114" u="1"/>
        <n v="1533" u="1"/>
        <n v="3253" u="1"/>
        <n v="2157" u="1"/>
        <n v="3296" u="1"/>
        <n v="2200" u="1"/>
        <n v="1576" u="1"/>
        <n v="2243" u="1"/>
        <n v="2286" u="1"/>
        <n v="1619" u="1"/>
        <n v="2329" u="1"/>
        <n v="2372" u="1"/>
        <n v="1662" u="1"/>
        <n v="2415" u="1"/>
        <n v="2458" u="1"/>
        <n v="1705" u="1"/>
        <n v="2501" u="1"/>
        <n v="2544" u="1"/>
        <n v="1748" u="1"/>
        <n v="2587" u="1"/>
        <n v="2630" u="1"/>
        <n v="1791" u="1"/>
        <n v="2673" u="1"/>
        <n v="2716" u="1"/>
        <n v="1834" u="1"/>
        <n v="2759" u="1"/>
        <n v="2802" u="1"/>
        <n v="1877" u="1"/>
        <n v="2845" u="1"/>
        <n v="2888" u="1"/>
        <n v="1920" u="1"/>
        <n v="2931" u="1"/>
        <n v="2974" u="1"/>
        <n v="1963" u="1"/>
        <n v="1415" u="1"/>
        <n v="3017" u="1"/>
        <n v="3060" u="1"/>
        <n v="2006" u="1"/>
        <n v="1458" u="1"/>
        <n v="3103" u="1"/>
        <n v="3146" u="1"/>
        <n v="2050" u="1"/>
        <n v="1501" u="1"/>
        <n v="3189" u="1"/>
        <n v="2093" u="1"/>
        <n v="3232" u="1"/>
        <n v="2136" u="1"/>
        <n v="1544" u="1"/>
        <n v="3275" u="1"/>
        <n v="2179" u="1"/>
        <n v="3318" u="1"/>
        <n v="2222" u="1"/>
        <n v="1587" u="1"/>
        <n v="2265" u="1"/>
        <n v="2308" u="1"/>
        <n v="2351" u="1"/>
        <n v="2394" u="1"/>
        <n v="1673" u="1"/>
        <n v="2437" u="1"/>
        <n v="2480" u="1"/>
        <n v="1716" u="1"/>
        <n v="2523" u="1"/>
        <n v="2566" u="1"/>
        <n v="1759" u="1"/>
        <n v="2609" u="1"/>
        <n v="2652" u="1"/>
        <n v="1802" u="1"/>
        <n v="2695" u="1"/>
        <n v="2738" u="1"/>
        <n v="1845" u="1"/>
        <n v="2781" u="1"/>
        <n v="2824" u="1"/>
        <n v="1888" u="1"/>
        <n v="2867" u="1"/>
        <n v="2910" u="1"/>
        <n v="1931" u="1"/>
        <n v="2953" u="1"/>
        <n v="2996" u="1"/>
        <n v="1974" u="1"/>
        <n v="1426" u="1"/>
        <n v="3039" u="1"/>
        <n v="3082" u="1"/>
        <n v="2017" u="1"/>
        <n v="1469" u="1"/>
        <n v="3125" u="1"/>
        <n v="3168" u="1"/>
        <n v="2072" u="1"/>
        <n v="1512" u="1"/>
        <n v="3211" u="1"/>
        <n v="2115" u="1"/>
        <n v="3254" u="1"/>
        <n v="2158" u="1"/>
        <n v="1555" u="1"/>
        <n v="3297" u="1"/>
        <n v="2201" u="1"/>
        <n v="2244" u="1"/>
        <n v="1598" u="1"/>
        <n v="2287" u="1"/>
        <n v="2330" u="1"/>
        <n v="1641" u="1"/>
        <n v="2373" u="1"/>
        <n v="2416" u="1"/>
        <n v="2459" u="1"/>
        <n v="2502" u="1"/>
        <n v="1727" u="1"/>
        <n v="2545" u="1"/>
        <n v="2588" u="1"/>
        <n v="1770" u="1"/>
        <n v="2631" u="1"/>
        <n v="2674" u="1"/>
        <n v="1813" u="1"/>
        <n v="2717" u="1"/>
        <n v="2760" u="1"/>
        <n v="1856" u="1"/>
        <n v="2803" u="1"/>
        <n v="2846" u="1"/>
        <n v="1899" u="1"/>
        <n v="2889" u="1"/>
        <n v="2932" u="1"/>
        <n v="1942" u="1"/>
        <n v="2975" u="1"/>
        <n v="3018" u="1"/>
        <n v="1985" u="1"/>
        <n v="1437" u="1"/>
        <n v="3061" u="1"/>
        <n v="3104" u="1"/>
        <n v="2028" u="1"/>
        <n v="1480" u="1"/>
        <n v="3147" u="1"/>
        <n v="2051" u="1"/>
        <n v="3190" u="1"/>
        <n v="2094" u="1"/>
        <n v="1523" u="1"/>
        <n v="3233" u="1"/>
        <n v="2137" u="1"/>
        <n v="3276" u="1"/>
        <n v="2180" u="1"/>
        <n v="1566" u="1"/>
        <n v="3319" u="1"/>
        <n v="2223" u="1"/>
        <n v="2266" u="1"/>
        <n v="1609" u="1"/>
        <n v="2309" u="1"/>
        <n v="2352" u="1"/>
        <n v="1652" u="1"/>
        <n v="2395" u="1"/>
        <n v="2438" u="1"/>
        <n v="2481" u="1"/>
        <n v="2524" u="1"/>
        <n v="1738" u="1"/>
        <n v="2567" u="1"/>
        <n v="2610" u="1"/>
        <n v="1781" u="1"/>
        <n v="2653" u="1"/>
        <n v="2696" u="1"/>
        <n v="1824" u="1"/>
        <n v="2739" u="1"/>
        <n v="2782" u="1"/>
        <n v="1867" u="1"/>
        <n v="2825" u="1"/>
        <n v="2868" u="1"/>
        <n v="1910" u="1"/>
        <n v="2911" u="1"/>
        <n v="2954" u="1"/>
        <n v="1953" u="1"/>
        <n v="2997" u="1"/>
        <n v="3040" u="1"/>
        <n v="1996" u="1"/>
        <n v="1448" u="1"/>
        <n v="3083" u="1"/>
        <n v="3126" u="1"/>
        <n v="2039" u="1"/>
        <n v="1491" u="1"/>
        <n v="3169" u="1"/>
        <n v="2073" u="1"/>
        <n v="3212" u="1"/>
        <n v="2116" u="1"/>
        <n v="3255" u="1"/>
        <n v="2159" u="1"/>
        <n v="3298" u="1"/>
        <n v="2202" u="1"/>
        <n v="1577" u="1"/>
        <n v="2245" u="1"/>
        <n v="2288" u="1"/>
        <n v="2331" u="1"/>
        <n v="2374" u="1"/>
        <n v="1663" u="1"/>
        <n v="2417" u="1"/>
        <n v="2460" u="1"/>
        <n v="1706" u="1"/>
        <n v="2503" u="1"/>
        <n v="2546" u="1"/>
        <n v="1749" u="1"/>
        <n v="2589" u="1"/>
        <n v="2632" u="1"/>
        <n v="1792" u="1"/>
        <n v="2675" u="1"/>
        <n v="2718" u="1"/>
        <n v="1835" u="1"/>
        <n v="2761" u="1"/>
        <n v="2804" u="1"/>
        <n v="1878" u="1"/>
        <n v="2847" u="1"/>
        <n v="2890" u="1"/>
        <n v="1921" u="1"/>
        <n v="2933" u="1"/>
        <n v="2976" u="1"/>
        <n v="1964" u="1"/>
        <n v="1416" u="1"/>
        <n v="3019" u="1"/>
        <n v="3062" u="1"/>
        <n v="2007" u="1"/>
        <n v="1459" u="1"/>
        <n v="3105" u="1"/>
        <n v="3148" u="1"/>
        <n v="2052" u="1"/>
        <n v="1502" u="1"/>
        <n v="3191" u="1"/>
        <n v="2095" u="1"/>
        <n v="3234" u="1"/>
        <n v="2138" u="1"/>
        <n v="1545" u="1"/>
        <n v="3277" u="1"/>
        <n v="2181" u="1"/>
        <n v="3320" u="1"/>
        <n v="2224" u="1"/>
        <n v="1588" u="1"/>
        <n v="2267" u="1"/>
        <n v="2310" u="1"/>
        <n v="1631" u="1"/>
        <n v="2353" u="1"/>
        <n v="2396" u="1"/>
        <n v="1674" u="1"/>
        <n v="2439" u="1"/>
        <n v="2482" u="1"/>
        <n v="1717" u="1"/>
        <n v="2525" u="1"/>
        <n v="2568" u="1"/>
        <n v="1760" u="1"/>
        <n v="2611" u="1"/>
        <n v="2654" u="1"/>
        <n v="1803" u="1"/>
        <n v="2697" u="1"/>
        <n v="2740" u="1"/>
        <n v="1846" u="1"/>
        <n v="2783" u="1"/>
        <n v="2826" u="1"/>
        <n v="1889" u="1"/>
        <n v="2869" u="1"/>
        <n v="2912" u="1"/>
        <n v="1932" u="1"/>
        <n v="2955" u="1"/>
        <n v="2998" u="1"/>
        <n v="1975" u="1"/>
        <n v="1427" u="1"/>
        <n v="3041" u="1"/>
        <n v="3084" u="1"/>
        <n v="2018" u="1"/>
        <n v="1470" u="1"/>
        <n v="3127" u="1"/>
        <n v="3170" u="1"/>
        <n v="2074" u="1"/>
        <n v="1513" u="1"/>
        <n v="3213" u="1"/>
        <n v="2117" u="1"/>
        <n v="3256" u="1"/>
        <n v="2160" u="1"/>
        <n v="1556" u="1"/>
        <n v="3299" u="1"/>
        <n v="2203" u="1"/>
        <n v="2246" u="1"/>
        <n v="1599" u="1"/>
        <n v="2289" u="1"/>
        <n v="2332" u="1"/>
        <n v="1642" u="1"/>
        <n v="2375" u="1"/>
        <n v="2418" u="1"/>
        <n v="1685" u="1"/>
        <n v="2461" u="1"/>
        <n v="2504" u="1"/>
        <n v="1728" u="1"/>
        <n v="2547" u="1"/>
        <n v="2590" u="1"/>
        <n v="1771" u="1"/>
        <n v="2633" u="1"/>
        <n v="2676" u="1"/>
        <n v="1814" u="1"/>
        <n v="2719" u="1"/>
        <n v="2762" u="1"/>
        <n v="1857" u="1"/>
        <n v="2805" u="1"/>
        <n v="2848" u="1"/>
        <n v="1900" u="1"/>
        <n v="2891" u="1"/>
        <n v="2934" u="1"/>
        <n v="1943" u="1"/>
        <n v="2977" u="1"/>
        <n v="3020" u="1"/>
        <n v="1986" u="1"/>
        <n v="1438" u="1"/>
        <n v="3063" u="1"/>
        <n v="3106" u="1"/>
        <n v="2029" u="1"/>
        <n v="1481" u="1"/>
        <n v="3149" u="1"/>
        <n v="2053" u="1"/>
        <n v="3192" u="1"/>
        <n v="2096" u="1"/>
        <n v="1524" u="1"/>
        <n v="3235" u="1"/>
        <n v="2139" u="1"/>
        <n v="3278" u="1"/>
        <n v="2182" u="1"/>
        <n v="1567" u="1"/>
        <n v="3321" u="1"/>
        <n v="2225" u="1"/>
        <n v="2268" u="1"/>
        <n v="2311" u="1"/>
        <n v="2354" u="1"/>
        <n v="1653" u="1"/>
        <n v="2397" u="1"/>
        <n v="2440" u="1"/>
        <n v="1696" u="1"/>
        <n v="2483" u="1"/>
        <n v="2526" u="1"/>
        <n v="1739" u="1"/>
        <n v="2569" u="1"/>
        <n v="2612" u="1"/>
        <n v="1782" u="1"/>
        <n v="2655" u="1"/>
        <n v="2698" u="1"/>
        <n v="1825" u="1"/>
        <n v="2741" u="1"/>
        <n v="2784" u="1"/>
        <n v="1868" u="1"/>
        <n v="2827" u="1"/>
        <n v="2870" u="1"/>
        <n v="1911" u="1"/>
        <n v="2913" u="1"/>
        <n v="2956" u="1"/>
        <n v="1954" u="1"/>
        <n v="2999" u="1"/>
        <n v="3042" u="1"/>
        <n v="1997" u="1"/>
        <n v="1449" u="1"/>
        <n v="3085" u="1"/>
        <n v="3128" u="1"/>
        <n v="2040" u="1"/>
        <n v="1492" u="1"/>
        <n v="3171" u="1"/>
        <n v="2075" u="1"/>
        <n v="3214" u="1"/>
        <n v="2118" u="1"/>
        <n v="1535" u="1"/>
        <n v="3257" u="1"/>
        <n v="2161" u="1"/>
        <n v="3300" u="1"/>
        <n v="2204" u="1"/>
        <n v="1578" u="1"/>
        <n v="2247" u="1"/>
        <n v="2290" u="1"/>
        <n v="1621" u="1"/>
        <n v="2333" u="1"/>
        <n v="2376" u="1"/>
        <n v="1664" u="1"/>
        <n v="2419" u="1"/>
        <n v="2462" u="1"/>
        <n v="1707" u="1"/>
        <n v="2505" u="1"/>
        <n v="2548" u="1"/>
        <n v="1750" u="1"/>
        <n v="2591" u="1"/>
        <n v="2634" u="1"/>
        <n v="1793" u="1"/>
        <n v="2677" u="1"/>
        <n v="2720" u="1"/>
        <n v="1836" u="1"/>
        <n v="2763" u="1"/>
        <n v="2806" u="1"/>
        <n v="1879" u="1"/>
        <n v="2849" u="1"/>
        <n v="2892" u="1"/>
        <n v="1922" u="1"/>
        <n v="2935" u="1"/>
        <n v="2978" u="1"/>
        <n v="1965" u="1"/>
        <n v="1417" u="1"/>
        <n v="3021" u="1"/>
        <n v="3064" u="1"/>
        <n v="2008" u="1"/>
        <n v="1460" u="1"/>
        <n v="3107" u="1"/>
        <n v="3150" u="1"/>
        <n v="2054" u="1"/>
        <n v="1503" u="1"/>
        <n v="3193" u="1"/>
        <n v="2097" u="1"/>
        <n v="3236" u="1"/>
        <n v="2140" u="1"/>
        <n v="1546" u="1"/>
        <n v="3279" u="1"/>
        <n v="2183" u="1"/>
        <n v="3322" u="1"/>
        <n v="2226" u="1"/>
        <n v="1589" u="1"/>
        <n v="2269" u="1"/>
        <n v="2312" u="1"/>
        <n v="1632" u="1"/>
        <n v="2355" u="1"/>
        <n v="2398" u="1"/>
        <n v="1675" u="1"/>
        <n v="2441" u="1"/>
        <n v="2484" u="1"/>
        <n v="1718" u="1"/>
        <n v="2527" u="1"/>
        <n v="2570" u="1"/>
        <n v="1761" u="1"/>
        <n v="2613" u="1"/>
        <n v="2656" u="1"/>
        <n v="1804" u="1"/>
        <n v="2699" u="1"/>
        <n v="2742" u="1"/>
        <n v="1847" u="1"/>
        <n v="2785" u="1"/>
        <n v="2828" u="1"/>
        <n v="1890" u="1"/>
        <n v="2871" u="1"/>
        <n v="2914" u="1"/>
        <n v="1933" u="1"/>
        <n v="2957" u="1"/>
        <n v="3000" u="1"/>
        <n v="1976" u="1"/>
        <n v="1428" u="1"/>
        <n v="3043" u="1"/>
        <n v="3086" u="1"/>
        <n v="2019" u="1"/>
        <n v="1471" u="1"/>
        <n v="3129" u="1"/>
        <n v="3172" u="1"/>
        <n v="2076" u="1"/>
        <n v="1514" u="1"/>
        <n v="3215" u="1"/>
        <n v="2119" u="1"/>
        <n v="3258" u="1"/>
        <n v="2162" u="1"/>
        <n v="1557" u="1"/>
        <n v="3301" u="1"/>
        <n v="2205" u="1"/>
        <n v="2248" u="1"/>
        <n v="1600" u="1"/>
        <n v="2291" u="1"/>
        <n v="2334" u="1"/>
        <n v="1643" u="1"/>
        <n v="2377" u="1"/>
        <n v="2420" u="1"/>
        <n v="1686" u="1"/>
        <n v="2463" u="1"/>
        <n v="2506" u="1"/>
        <n v="1729" u="1"/>
        <n v="2549" u="1"/>
        <n v="2592" u="1"/>
        <n v="1772" u="1"/>
        <n v="2635" u="1"/>
        <n v="2678" u="1"/>
        <n v="1815" u="1"/>
        <n v="2721" u="1"/>
        <n v="2764" u="1"/>
        <n v="1858" u="1"/>
        <n v="2807" u="1"/>
        <n v="2850" u="1"/>
        <n v="1901" u="1"/>
        <n v="2893" u="1"/>
        <n v="2936" u="1"/>
        <n v="1944" u="1"/>
        <n v="2979" u="1"/>
        <n v="3022" u="1"/>
        <n v="1987" u="1"/>
        <n v="1439" u="1"/>
        <n v="3065" u="1"/>
        <n v="3108" u="1"/>
        <n v="2030" u="1"/>
        <n v="1482" u="1"/>
        <n v="3151" u="1"/>
        <n v="2055" u="1"/>
        <n v="3194" u="1"/>
        <n v="2098" u="1"/>
        <n v="1525" u="1"/>
        <n v="3237" u="1"/>
        <n v="2141" u="1"/>
        <n v="3280" u="1"/>
        <n v="2184" u="1"/>
        <n v="1568" u="1"/>
        <n v="3323" u="1"/>
        <n v="2227" u="1"/>
        <n v="2270" u="1"/>
        <n v="1611" u="1"/>
        <n v="2313" u="1"/>
        <n v="2356" u="1"/>
        <n v="1654" u="1"/>
        <n v="2399" u="1"/>
        <n v="2442" u="1"/>
        <n v="1697" u="1"/>
        <n v="2485" u="1"/>
        <n v="2528" u="1"/>
        <n v="1740" u="1"/>
        <n v="2571" u="1"/>
        <n v="2614" u="1"/>
        <n v="1783" u="1"/>
        <n v="2657" u="1"/>
        <n v="2700" u="1"/>
        <n v="1826" u="1"/>
        <n v="2743" u="1"/>
        <n v="2786" u="1"/>
        <n v="1869" u="1"/>
        <n v="2829" u="1"/>
        <n v="2872" u="1"/>
        <n v="1912" u="1"/>
        <n v="2915" u="1"/>
        <n v="2958" u="1"/>
        <n v="1955" u="1"/>
        <n v="3001" u="1"/>
        <n v="3044" u="1"/>
        <n v="1998" u="1"/>
        <n v="1450" u="1"/>
        <n v="3087" u="1"/>
        <n v="3130" u="1"/>
        <n v="2041" u="1"/>
        <n v="1493" u="1"/>
        <n v="3173" u="1"/>
        <n v="2077" u="1"/>
        <n v="3216" u="1"/>
        <n v="2120" u="1"/>
        <n v="1536" u="1"/>
        <n v="3259" u="1"/>
        <n v="2163" u="1"/>
        <n v="3302" u="1"/>
        <n v="2206" u="1"/>
        <n v="1579" u="1"/>
        <n v="2249" u="1"/>
        <n v="2292" u="1"/>
        <n v="1622" u="1"/>
        <n v="2335" u="1"/>
        <n v="2378" u="1"/>
        <n v="1665" u="1"/>
        <n v="2421" u="1"/>
        <n v="2464" u="1"/>
        <n v="1708" u="1"/>
        <n v="2507" u="1"/>
        <n v="2550" u="1"/>
        <n v="1751" u="1"/>
        <n v="2593" u="1"/>
        <n v="2636" u="1"/>
        <n v="1794" u="1"/>
        <n v="2679" u="1"/>
        <n v="2722" u="1"/>
        <n v="1837" u="1"/>
        <n v="2765" u="1"/>
        <n v="2808" u="1"/>
        <n v="1880" u="1"/>
        <n v="2851" u="1"/>
        <n v="2894" u="1"/>
        <n v="1923" u="1"/>
        <n v="2937" u="1"/>
        <n v="2980" u="1"/>
        <n v="1966" u="1"/>
        <n v="1418" u="1"/>
        <n v="3023" u="1"/>
        <n v="3066" u="1"/>
        <n v="2009" u="1"/>
        <n v="1461" u="1"/>
        <n v="3109" u="1"/>
        <n v="3152" u="1"/>
        <n v="2056" u="1"/>
        <n v="1504" u="1"/>
        <n v="3195" u="1"/>
        <n v="2099" u="1"/>
        <n v="3238" u="1"/>
        <n v="2142" u="1"/>
        <n v="1547" u="1"/>
        <n v="3281" u="1"/>
        <n v="2185" u="1"/>
        <n v="3324" u="1"/>
        <n v="2228" u="1"/>
        <n v="1590" u="1"/>
        <n v="2271" u="1"/>
        <n v="2314" u="1"/>
        <n v="1633" u="1"/>
        <n v="2357" u="1"/>
        <n v="2400" u="1"/>
        <n v="1676" u="1"/>
        <n v="2443" u="1"/>
        <n v="2486" u="1"/>
        <n v="2529" u="1"/>
        <n v="2572" u="1"/>
        <n v="1762" u="1"/>
        <n v="2615" u="1"/>
        <n v="2658" u="1"/>
        <n v="1805" u="1"/>
        <n v="2701" u="1"/>
        <n v="2744" u="1"/>
        <n v="1848" u="1"/>
        <n v="2787" u="1"/>
        <n v="2830" u="1"/>
        <n v="1891" u="1"/>
        <n v="2873" u="1"/>
        <n v="2916" u="1"/>
        <n v="1934" u="1"/>
        <n v="2959" u="1"/>
        <n v="3002" u="1"/>
        <n v="1977" u="1"/>
        <n v="1429" u="1"/>
        <n v="3045" u="1"/>
        <n v="3088" u="1"/>
        <n v="2020" u="1"/>
        <n v="1472" u="1"/>
        <n v="3131" u="1"/>
        <n v="3174" u="1"/>
        <n v="2078" u="1"/>
        <n v="1515" u="1"/>
        <n v="3217" u="1"/>
        <n v="2121" u="1"/>
        <n v="3260" u="1"/>
        <n v="2164" u="1"/>
        <n v="1558" u="1"/>
        <n v="3303" u="1"/>
        <n v="2207" u="1"/>
        <n v="2250" u="1"/>
        <n v="1601" u="1"/>
        <n v="2293" u="1"/>
        <n v="2336" u="1"/>
        <n v="1644" u="1"/>
        <n v="2379" u="1"/>
        <n v="2422" u="1"/>
        <n v="1687" u="1"/>
        <n v="2465" u="1"/>
        <n v="2508" u="1"/>
        <n v="1730" u="1"/>
        <n v="2551" u="1"/>
        <n v="2594" u="1"/>
        <n v="1773" u="1"/>
        <n v="2637" u="1"/>
        <n v="2680" u="1"/>
        <n v="1816" u="1"/>
        <n v="2723" u="1"/>
        <n v="2766" u="1"/>
        <n v="1859" u="1"/>
        <n v="2809" u="1"/>
        <n v="2852" u="1"/>
        <n v="1902" u="1"/>
        <n v="2895" u="1"/>
        <n v="2938" u="1"/>
        <n v="1945" u="1"/>
        <n v="2981" u="1"/>
        <n v="3024" u="1"/>
        <n v="1988" u="1"/>
        <n v="1440" u="1"/>
        <n v="3067" u="1"/>
        <n v="3110" u="1"/>
        <n v="2031" u="1"/>
        <n v="1483" u="1"/>
        <n v="3153" u="1"/>
        <n v="2057" u="1"/>
        <n v="3196" u="1"/>
        <n v="2100" u="1"/>
        <n v="1526" u="1"/>
        <n v="3239" u="1"/>
        <n v="2143" u="1"/>
        <n v="3282" u="1"/>
        <n v="2186" u="1"/>
        <n v="1569" u="1"/>
        <n v="3325" u="1"/>
        <n v="2229" u="1"/>
        <n v="2272" u="1"/>
        <n v="1612" u="1"/>
        <n v="2315" u="1"/>
        <n v="2358" u="1"/>
        <n v="1655" u="1"/>
        <n v="2401" u="1"/>
        <n v="2444" u="1"/>
        <n v="1698" u="1"/>
        <n v="2487" u="1"/>
        <n v="2530" u="1"/>
        <n v="1741" u="1"/>
        <n v="2573" u="1"/>
        <n v="2616" u="1"/>
        <n v="1784" u="1"/>
        <n v="2659" u="1"/>
        <n v="2702" u="1"/>
        <n v="1827" u="1"/>
        <n v="2745" u="1"/>
        <n v="2788" u="1"/>
        <n v="1870" u="1"/>
        <n v="2831" u="1"/>
        <n v="2874" u="1"/>
        <n v="1913" u="1"/>
        <n v="2917" u="1"/>
        <n v="2960" u="1"/>
        <n v="1956" u="1"/>
        <n v="3003" u="1"/>
        <n v="3046" u="1"/>
        <n v="1999" u="1"/>
        <n v="1451" u="1"/>
        <n v="3089" u="1"/>
        <n v="3132" u="1"/>
        <n v="2042" u="1"/>
        <n v="1494" u="1"/>
        <n v="3175" u="1"/>
        <n v="2079" u="1"/>
        <n v="3218" u="1"/>
        <n v="2122" u="1"/>
        <n v="1537" u="1"/>
        <n v="3261" u="1"/>
        <n v="2165" u="1"/>
        <n v="3304" u="1"/>
        <n v="2208" u="1"/>
        <n v="1580" u="1"/>
        <n v="2251" u="1"/>
        <n v="2294" u="1"/>
        <n v="1623" u="1"/>
        <n v="2337" u="1"/>
        <n v="2380" u="1"/>
        <n v="1666" u="1"/>
        <n v="2423" u="1"/>
        <n v="2466" u="1"/>
        <n v="1709" u="1"/>
        <n v="2509" u="1"/>
        <n v="2552" u="1"/>
        <n v="1752" u="1"/>
        <n v="2595" u="1"/>
        <n v="2638" u="1"/>
        <n v="1795" u="1"/>
        <n v="2681" u="1"/>
        <n v="2724" u="1"/>
        <n v="1838" u="1"/>
        <n v="2767" u="1"/>
        <n v="2810" u="1"/>
        <n v="1881" u="1"/>
        <n v="2853" u="1"/>
        <n v="2896" u="1"/>
        <n v="1924" u="1"/>
        <n v="2939" u="1"/>
        <n v="2982" u="1"/>
        <n v="1967" u="1"/>
        <n v="1419" u="1"/>
        <n v="3025" u="1"/>
        <n v="3068" u="1"/>
        <n v="2010" u="1"/>
        <n v="1462" u="1"/>
        <n v="3111" u="1"/>
        <n v="3154" u="1"/>
        <n v="2058" u="1"/>
        <n v="1505" u="1"/>
        <n v="3197" u="1"/>
        <n v="2101" u="1"/>
        <n v="3240" u="1"/>
        <n v="2144" u="1"/>
        <n v="1548" u="1"/>
        <n v="3283" u="1"/>
        <n v="2187" u="1"/>
        <n v="3326" u="1"/>
        <n v="2230" u="1"/>
        <n v="1591" u="1"/>
        <n v="2273" u="1"/>
        <n v="2316" u="1"/>
        <n v="1634" u="1"/>
        <n v="2359" u="1"/>
        <n v="2402" u="1"/>
        <n v="1677" u="1"/>
        <n v="2445" u="1"/>
        <n v="2488" u="1"/>
        <n v="1720" u="1"/>
        <n v="2531" u="1"/>
        <n v="2574" u="1"/>
        <n v="1763" u="1"/>
        <n v="2617" u="1"/>
        <n v="2660" u="1"/>
        <n v="1806" u="1"/>
        <n v="2703" u="1"/>
        <n v="2746" u="1"/>
        <n v="1849" u="1"/>
        <n v="2789" u="1"/>
        <n v="2832" u="1"/>
        <n v="1892" u="1"/>
        <n v="2875" u="1"/>
        <n v="2918" u="1"/>
        <n v="1935" u="1"/>
        <n v="2961" u="1"/>
        <n v="3004" u="1"/>
        <n v="1978" u="1"/>
        <n v="1430" u="1"/>
        <n v="3047" u="1"/>
        <n v="3090" u="1"/>
        <n v="2021" u="1"/>
        <n v="1473" u="1"/>
        <n v="3133" u="1"/>
        <n v="3176" u="1"/>
        <n v="2080" u="1"/>
        <n v="1516" u="1"/>
        <n v="3219" u="1"/>
        <n v="2123" u="1"/>
        <n v="3262" u="1"/>
        <n v="2166" u="1"/>
        <n v="1559" u="1"/>
        <n v="3305" u="1"/>
        <n v="2209" u="1"/>
        <n v="2252" u="1"/>
        <n v="1602" u="1"/>
        <n v="2295" u="1"/>
        <n v="2338" u="1"/>
        <n v="1645" u="1"/>
        <n v="2381" u="1"/>
        <n v="2424" u="1"/>
        <n v="1688" u="1"/>
        <n v="2467" u="1"/>
        <n v="2510" u="1"/>
        <n v="1731" u="1"/>
        <n v="2553" u="1"/>
        <n v="2596" u="1"/>
        <n v="1774" u="1"/>
        <n v="2639" u="1"/>
        <n v="2682" u="1"/>
        <n v="2725" u="1"/>
        <n v="2768" u="1"/>
        <n v="1860" u="1"/>
        <n v="2811" u="1"/>
        <n v="2854" u="1"/>
        <n v="1903" u="1"/>
        <n v="2897" u="1"/>
        <n v="2940" u="1"/>
        <n v="1946" u="1"/>
        <n v="2983" u="1"/>
        <n v="3026" u="1"/>
        <n v="1989" u="1"/>
        <n v="1441" u="1"/>
        <n v="3069" u="1"/>
        <n v="3112" u="1"/>
        <n v="2032" u="1"/>
        <n v="1484" u="1"/>
        <n v="3155" u="1"/>
        <n v="2059" u="1"/>
        <n v="3198" u="1"/>
        <n v="2102" u="1"/>
        <n v="1527" u="1"/>
        <n v="3241" u="1"/>
        <n v="2145" u="1"/>
        <n v="3284" u="1"/>
        <n v="2188" u="1"/>
        <n v="1570" u="1"/>
        <n v="3327" u="1"/>
        <n v="2231" u="1"/>
        <n v="2274" u="1"/>
        <n v="1613" u="1"/>
        <n v="2317" u="1"/>
        <n v="2360" u="1"/>
        <n v="1656" u="1"/>
        <n v="2403" u="1"/>
        <n v="2446" u="1"/>
        <n v="1699" u="1"/>
        <n v="2489" u="1"/>
        <n v="2532" u="1"/>
        <n v="1742" u="1"/>
        <n v="2575" u="1"/>
        <n v="2618" u="1"/>
        <n v="1785" u="1"/>
        <n v="2661" u="1"/>
        <n v="2704" u="1"/>
        <n v="1828" u="1"/>
        <n v="2747" u="1"/>
        <n v="2790" u="1"/>
        <n v="1871" u="1"/>
        <n v="2833" u="1"/>
        <n v="2876" u="1"/>
        <n v="1914" u="1"/>
        <n v="2919" u="1"/>
        <n v="2962" u="1"/>
        <n v="1957" u="1"/>
        <n v="3005" u="1"/>
        <n v="3048" u="1"/>
        <n v="2000" u="1"/>
        <n v="1452" u="1"/>
        <n v="3091" u="1"/>
        <n v="3134" u="1"/>
        <n v="2043" u="1"/>
        <n v="1495" u="1"/>
        <n v="3177" u="1"/>
        <n v="2081" u="1"/>
        <n v="3220" u="1"/>
        <n v="2124" u="1"/>
        <n v="1538" u="1"/>
        <n v="3263" u="1"/>
        <n v="2167" u="1"/>
        <n v="3306" u="1"/>
        <n v="2210" u="1"/>
        <n v="1581" u="1"/>
        <n v="2253" u="1"/>
        <n v="2296" u="1"/>
        <n v="1624" u="1"/>
        <n v="2339" u="1"/>
        <n v="2382" u="1"/>
        <n v="1667" u="1"/>
        <n v="2425" u="1"/>
        <n v="2468" u="1"/>
        <n v="1710" u="1"/>
        <n v="2511" u="1"/>
        <n v="2554" u="1"/>
        <n v="1753" u="1"/>
        <n v="2597" u="1"/>
        <n v="2640" u="1"/>
        <n v="1796" u="1"/>
        <n v="2683" u="1"/>
        <n v="2726" u="1"/>
        <n v="1839" u="1"/>
        <n v="2769" u="1"/>
        <n v="2812" u="1"/>
        <n v="1882" u="1"/>
        <n v="2855" u="1"/>
        <n v="2898" u="1"/>
        <n v="1925" u="1"/>
        <n v="2941" u="1"/>
        <n v="2984" u="1"/>
        <n v="1968" u="1"/>
        <n v="1420" u="1"/>
        <n v="3027" u="1"/>
        <n v="3070" u="1"/>
        <n v="2011" u="1"/>
        <n v="1463" u="1"/>
        <n v="3113" u="1"/>
        <n v="3156" u="1"/>
        <n v="2060" u="1"/>
        <n v="1506" u="1"/>
        <n v="3199" u="1"/>
        <n v="2103" u="1"/>
        <n v="3242" u="1"/>
        <n v="2146" u="1"/>
        <n v="1549" u="1"/>
        <n v="3285" u="1"/>
        <n v="2189" u="1"/>
        <n v="3328" u="1"/>
        <n v="2232" u="1"/>
        <n v="1592" u="1"/>
        <n v="2275" u="1"/>
        <n v="2318" u="1"/>
        <n v="1635" u="1"/>
        <n v="2361" u="1"/>
        <n v="2404" u="1"/>
        <n v="1678" u="1"/>
        <n v="2447" u="1"/>
        <n v="2490" u="1"/>
        <n v="1721" u="1"/>
        <n v="2533" u="1"/>
        <n v="2576" u="1"/>
        <n v="1764" u="1"/>
        <n v="2619" u="1"/>
        <n v="2662" u="1"/>
        <n v="1807" u="1"/>
        <n v="2705" u="1"/>
        <n v="2748" u="1"/>
        <n v="1850" u="1"/>
        <n v="2791" u="1"/>
        <n v="2834" u="1"/>
        <n v="1893" u="1"/>
        <n v="2877" u="1"/>
        <n v="2920" u="1"/>
        <n v="1936" u="1"/>
        <n v="2963" u="1"/>
        <n v="3006" u="1"/>
        <n v="1431" u="1"/>
        <n v="3049" u="1"/>
        <n v="3092" u="1"/>
        <n v="2022" u="1"/>
        <n v="1474" u="1"/>
        <n v="3135" u="1"/>
        <n v="3178" u="1"/>
        <n v="2082" u="1"/>
        <n v="1517" u="1"/>
        <n v="3221" u="1"/>
        <n v="2125" u="1"/>
        <n v="3264" u="1"/>
        <n v="2168" u="1"/>
        <n v="1560" u="1"/>
        <n v="3307" u="1"/>
        <n v="2211" u="1"/>
        <n v="2254" u="1"/>
        <n v="1603" u="1"/>
        <n v="2297" u="1"/>
        <n v="2340" u="1"/>
        <n v="1646" u="1"/>
        <n v="2383" u="1"/>
        <n v="2426" u="1"/>
        <n v="1689" u="1"/>
        <n v="2469" u="1"/>
        <n v="2512" u="1"/>
        <n v="1732" u="1"/>
        <n v="2555" u="1"/>
        <n v="2598" u="1"/>
        <n v="1775" u="1"/>
        <n v="2641" u="1"/>
        <n v="2684" u="1"/>
        <n v="1818" u="1"/>
        <n v="2727" u="1"/>
        <n v="2770" u="1"/>
        <n v="1861" u="1"/>
        <n v="2813" u="1"/>
        <n v="2856" u="1"/>
        <n v="1904" u="1"/>
        <n v="2899" u="1"/>
        <n v="2942" u="1"/>
        <n v="1947" u="1"/>
        <n v="2985" u="1"/>
        <n v="3028" u="1"/>
        <n v="1990" u="1"/>
        <n v="1442" u="1"/>
        <n v="3071" u="1"/>
        <n v="3114" u="1"/>
        <n v="2033" u="1"/>
        <n v="1485" u="1"/>
        <n v="3157" u="1"/>
        <n v="2061" u="1"/>
        <n v="3200" u="1"/>
        <n v="2104" u="1"/>
        <n v="1528" u="1"/>
        <n v="3243" u="1"/>
        <n v="2147" u="1"/>
        <n v="3286" u="1"/>
        <n v="2190" u="1"/>
        <n v="1571" u="1"/>
        <n v="2233" u="1"/>
        <n v="2276" u="1"/>
        <n v="1614" u="1"/>
        <n v="2319" u="1"/>
        <n v="2362" u="1"/>
        <n v="1657" u="1"/>
        <n v="2405" u="1"/>
        <n v="2448" u="1"/>
        <n v="1700" u="1"/>
        <n v="2491" u="1"/>
        <n v="2534" u="1"/>
        <n v="1743" u="1"/>
        <n v="2577" u="1"/>
        <n v="2620" u="1"/>
        <n v="1786" u="1"/>
        <n v="2663" u="1"/>
        <n v="2706" u="1"/>
        <n v="1829" u="1"/>
        <n v="2749" u="1"/>
        <n v="2792" u="1"/>
        <n v="1872" u="1"/>
        <n v="2835" u="1"/>
        <n v="2878" u="1"/>
        <n v="1915" u="1"/>
        <n v="2921" u="1"/>
        <n v="2964" u="1"/>
        <n v="1958" u="1"/>
        <n v="3007" u="1"/>
        <n v="3050" u="1"/>
        <n v="2001" u="1"/>
        <n v="1453" u="1"/>
        <n v="3093" u="1"/>
        <n v="3136" u="1"/>
        <n v="2044" u="1"/>
        <n v="1496" u="1"/>
        <n v="3179" u="1"/>
        <n v="2083" u="1"/>
        <n v="3222" u="1"/>
        <n v="2126" u="1"/>
        <n v="1539" u="1"/>
        <n v="3265" u="1"/>
        <n v="2169" u="1"/>
        <n v="3308" u="1"/>
        <n v="2212" u="1"/>
        <n v="1582" u="1"/>
        <n v="2255" u="1"/>
        <n v="2298" u="1"/>
        <n v="1625" u="1"/>
        <n v="2341" u="1"/>
        <n v="2384" u="1"/>
        <n v="1668" u="1"/>
        <n v="2427" u="1"/>
        <n v="2470" u="1"/>
        <n v="1711" u="1"/>
        <n v="2513" u="1"/>
        <n v="2556" u="1"/>
        <n v="1754" u="1"/>
        <n v="2599" u="1"/>
        <n v="2642" u="1"/>
        <n v="1797" u="1"/>
        <n v="2685" u="1"/>
        <n v="2728" u="1"/>
        <n v="1840" u="1"/>
        <n v="2771" u="1"/>
        <n v="2814" u="1"/>
        <n v="1883" u="1"/>
        <n v="2857" u="1"/>
        <n v="2900" u="1"/>
        <n v="1926" u="1"/>
        <n v="2943" u="1"/>
        <n v="2986" u="1"/>
        <n v="1969" u="1"/>
        <n v="1421" u="1"/>
        <n v="3029" u="1"/>
        <n v="3072" u="1"/>
        <n v="2012" u="1"/>
        <n v="1464" u="1"/>
        <n v="3115" u="1"/>
        <n v="3158" u="1"/>
        <n v="2062" u="1"/>
        <n v="1507" u="1"/>
        <n v="3201" u="1"/>
        <n v="2105" u="1"/>
        <n v="3244" u="1"/>
        <n v="2148" u="1"/>
        <n v="1550" u="1"/>
        <n v="3287" u="1"/>
        <n v="2191" u="1"/>
        <n v="2234" u="1"/>
        <n v="1593" u="1"/>
        <n v="2277" u="1"/>
        <n v="2320" u="1"/>
        <n v="1636" u="1"/>
        <n v="2363" u="1"/>
        <n v="2406" u="1"/>
        <n v="1679" u="1"/>
        <n v="2449" u="1"/>
        <n v="2492" u="1"/>
        <n v="1722" u="1"/>
        <n v="2535" u="1"/>
        <n v="2578" u="1"/>
        <n v="1765" u="1"/>
        <n v="2621" u="1"/>
        <n v="2664" u="1"/>
        <n v="1808" u="1"/>
        <n v="2707" u="1"/>
        <n v="2750" u="1"/>
        <n v="1851" u="1"/>
        <n v="2793" u="1"/>
        <n v="2836" u="1"/>
        <n v="1894" u="1"/>
        <n v="2879" u="1"/>
        <n v="2922" u="1"/>
        <n v="1937" u="1"/>
        <n v="2965" u="1"/>
        <n v="3008" u="1"/>
        <n v="1980" u="1"/>
        <n v="1432" u="1"/>
        <n v="3051" u="1"/>
        <n v="3094" u="1"/>
        <n v="2023" u="1"/>
        <n v="1475" u="1"/>
        <n v="3137" u="1"/>
        <n v="3180" u="1"/>
        <n v="1518" u="1"/>
        <n v="3223" u="1"/>
        <n v="2127" u="1"/>
        <n v="3266" u="1"/>
        <n v="2170" u="1"/>
        <n v="1561" u="1"/>
        <n v="3309" u="1"/>
        <n v="2213" u="1"/>
        <n v="2256" u="1"/>
        <n v="1604" u="1"/>
        <n v="2299" u="1"/>
        <n v="2342" u="1"/>
        <n v="1647" u="1"/>
        <n v="2385" u="1"/>
        <n v="2428" u="1"/>
        <n v="1690" u="1"/>
        <n v="2471" u="1"/>
        <n v="2514" u="1"/>
        <n v="2557" u="1"/>
        <n v="2600" u="1"/>
        <n v="1776" u="1"/>
        <n v="2643" u="1"/>
        <n v="2686" u="1"/>
        <n v="2729" u="1"/>
        <n v="2772" u="1"/>
        <n v="1862" u="1"/>
        <n v="2815" u="1"/>
        <n v="2858" u="1"/>
        <n v="1905" u="1"/>
        <n v="2901" u="1"/>
        <n v="2944" u="1"/>
        <n v="1948" u="1"/>
        <n v="2987" u="1"/>
        <n v="3030" u="1"/>
        <n v="1991" u="1"/>
        <n v="1443" u="1"/>
        <n v="3073" u="1"/>
        <n v="3116" u="1"/>
        <n v="2034" u="1"/>
        <n v="1486" u="1"/>
        <n v="3159" u="1"/>
        <n v="2063" u="1"/>
        <n v="3202" u="1"/>
        <n v="2106" u="1"/>
        <n v="3245" u="1"/>
        <n v="2149" u="1"/>
        <n v="3288" u="1"/>
        <n v="2192" u="1"/>
        <n v="1572" u="1"/>
        <n v="2235" u="1"/>
        <n v="2278" u="1"/>
        <n v="1615" u="1"/>
        <n v="2321" u="1"/>
        <n v="2364" u="1"/>
        <n v="1658" u="1"/>
        <n v="2407" u="1"/>
        <n v="2450" u="1"/>
        <n v="1701" u="1"/>
        <n v="2493" u="1"/>
        <n v="2536" u="1"/>
        <n v="1744" u="1"/>
        <n v="2579" u="1"/>
        <n v="2622" u="1"/>
        <n v="1787" u="1"/>
        <n v="2665" u="1"/>
        <n v="2708" u="1"/>
        <n v="1830" u="1"/>
        <n v="2751" u="1"/>
        <n v="2794" u="1"/>
        <n v="1873" u="1"/>
        <n v="2837" u="1"/>
        <n v="2880" u="1"/>
        <n v="1916" u="1"/>
        <n v="2923" u="1"/>
        <n v="2966" u="1"/>
        <n v="1959" u="1"/>
        <n v="3009" u="1"/>
        <n v="3052" u="1"/>
        <n v="2002" u="1"/>
        <n v="1454" u="1"/>
        <n v="3095" u="1"/>
        <n v="3138" u="1"/>
        <n v="2045" u="1"/>
        <n v="1497" u="1"/>
        <n v="3181" u="1"/>
        <n v="3224" u="1"/>
        <n v="2128" u="1"/>
        <n v="1540" u="1"/>
        <n v="3267" u="1"/>
        <n v="2171" u="1"/>
        <n v="3310" u="1"/>
        <n v="1583" u="1"/>
        <n v="2257" u="1"/>
        <n v="2300" u="1"/>
        <n v="1626" u="1"/>
        <n v="2343" u="1"/>
        <n v="2386" u="1"/>
        <n v="1669" u="1"/>
        <n v="2429" u="1"/>
        <n v="2472" u="1"/>
        <n v="1712" u="1"/>
      </sharedItems>
    </cacheField>
    <cacheField name="Party Name" numFmtId="0">
      <sharedItems containsNonDate="0" containsBlank="1" count="403">
        <m/>
        <s v="Shivam, Patnipura" u="1"/>
        <s v="MD Traders,Siyaganj" u="1"/>
        <s v="Aditya sales, Jaora" u="1"/>
        <s v="Chaynika Stores, Dhar" u="1"/>
        <s v="Madanlal Ganshayamdas, Mandsaur" u="1"/>
        <s v="Mohammed Saeed, Seoni Malwa" u="1"/>
        <s v="Prakash Paan Bhandar,Rajod" u="1"/>
        <s v="Arpit Plastic, Harda" u="1"/>
        <s v="Ganesh Stores,Barwani" u="1"/>
        <s v="Arpan General Stores, Khachrod" u="1"/>
        <s v="Arihant Traders, Susari" u="1"/>
        <s v="Ritesh Rathore, Thikri" u="1"/>
        <s v="Nitin Traders , Kantaphod" u="1"/>
        <s v="Gyanchand Mulchand, Dhar" u="1"/>
        <s v="Rajesh kirana Stores, Loharda" u="1"/>
        <s v="Shubh Traders, Shamgarh" u="1"/>
        <s v="Kailash General Store, Barnagar" u="1"/>
        <s v="subhash general stores, ranipura" u="1"/>
        <s v="Abhishek Jain, Chandrawatiganj" u="1"/>
        <s v="Prasad Mukhranjan Traders, Kukshi" u="1"/>
        <s v="Jugnu Traders, Harda" u="1"/>
        <s v="Sai Baba Sports, Indore" u="1"/>
        <s v="Sanjay marketing, Guna" u="1"/>
        <s v="Sinhal Sports,Harda" u="1"/>
        <s v="Sainath General Store, Mandsaur" u="1"/>
        <s v="Thakur Dada, Ujjain" u="1"/>
        <s v="Rajhans, Khajuri Bazar" u="1"/>
        <s v="Payal General Store, Mandsaur" u="1"/>
        <s v="Hitesh Traders, Agar" u="1"/>
        <s v="Karnawat, Indore" u="1"/>
        <s v="Jai Shiv Traders, Ranipura" u="1"/>
        <s v="Vividha Corner,Pachore" u="1"/>
        <s v="Mahakaal Sports, Ujjain" u="1"/>
        <s v="Sharma Ji Marketing, Indore" u="1"/>
        <s v="Akash Traders, Khalghat" u="1"/>
        <s v="Mukesh Jaju, Betma" u="1"/>
        <s v="Perfect Sales, Ujjain" u="1"/>
        <s v="Manoj Sports, Indore" u="1"/>
        <s v="Khandelwal Kirana Stores, Miyana" u="1"/>
        <s v="New Modern Store, Ratlam" u="1"/>
        <s v="Jai Laxmi Sports, Ranipura" u="1"/>
        <s v="Noor Hasan, Sarangpur" u="1"/>
        <s v="Shivani Gift, Khargone" u="1"/>
        <s v="Solanki Sweets,Pachore" u="1"/>
        <s v="Ajay Agencies, Guna" u="1"/>
        <s v="Aadeshwar Enterprises, Badnawar" u="1"/>
        <s v="Grah Shobha Enterprises, Neemuch" u="1"/>
        <s v="Ashok Kumar Ganpatlal, Bhabra" u="1"/>
        <s v="Partani Stores, Bhourasa" u="1"/>
        <s v="Kailash General Stores, Sanawad" u="1"/>
        <s v="Brijesh Kumar,Jhalrapatan " u="1"/>
        <s v="Pulkit Sales,Bhanpura" u="1"/>
        <s v="Novelty Stores,Barnagar" u="1"/>
        <s v="Manish General Store, Guna" u="1"/>
        <s v="Thrishul Traders, Kota" u="1"/>
        <s v="Lokesh Chaurasia, Guna" u="1"/>
        <s v="Lalit Kirana Stores,Agra(Depalpur)" u="1"/>
        <s v="Jai Maa Vaishnav Traders, Biwara" u="1"/>
        <s v="Lokesh Kirana, Sadalpur" u="1"/>
        <s v="Jayant Stores, Singana" u="1"/>
        <s v="Mahadev Traders,Ranipura" u="1"/>
        <s v="Manmohan Maheshwari,Mhow" u="1"/>
        <s v="Dilip Traders, Ujjain" u="1"/>
        <s v="Neeta Medicose, Ujjain" u="1"/>
        <s v="Nakoda Toys, Near Novelty Mkt" u="1"/>
        <s v="Kamla Stores, Alirajpur" u="1"/>
        <s v="Babji Traders, Harda" u="1"/>
        <s v="Vijay Stores, Timrani" u="1"/>
        <s v="Sinhal Agencies, Timarni" u="1"/>
        <s v="Legends Turf , Indore" u="1"/>
        <s v="Vinod Lalwani, Ratlam" u="1"/>
        <s v="Chai Ghar, Guna" u="1"/>
        <s v="Hastimal Vardman, Thandla" u="1"/>
        <s v="Amrit Sales, Dasai" u="1"/>
        <s v="Basant Agencies, Siyaganj" u="1"/>
        <s v="Asian Sports,Indore" u="1"/>
        <s v="Amul Medical,Indore" u="1"/>
        <s v="Hardev Sweets, Bina" u="1"/>
        <s v="Ambika Kirana Store, Singhana" u="1"/>
        <s v="Airen Traders, Biwara" u="1"/>
        <s v="Mahavir Enterprises, Narsinghpur" u="1"/>
        <s v="Parag Supari, Manawar" u="1"/>
        <s v="Ghanshyam Agrawal, Kannod" u="1"/>
        <s v="Khandelwal Sweets, Pachore" u="1"/>
        <s v="G.D Patnipura, Indore" u="1"/>
        <s v="Arihant Kirana, Aaron" u="1"/>
        <s v="Dilip Singh, Shamgarh" u="1"/>
        <s v="Prachi General Store, Khujner" u="1"/>
        <s v="Anil Stores, Talen" u="1"/>
        <s v="Sports Point, Indore" u="1"/>
        <s v="Anant General Stores, Akodiamandi" u="1"/>
        <s v="Arihant Paan Masala, Binaganj" u="1"/>
        <s v="Shri Krishna Stores, Mhow" u="1"/>
        <s v="Dilip Kumar Giriraj Kumar, Khujner" u="1"/>
        <s v="Krishna Agencies, Neemuch" u="1"/>
        <s v="Neelu General Store, Unhel" u="1"/>
        <s v="Shree Ratan Enterprises, Jhalrapatan" u="1"/>
        <s v="Shree Shankar Stores, Mandsaur" u="1"/>
        <s v="Kothari Kirana Stores, Para" u="1"/>
        <s v="Anugrah sales Agency, Guna" u="1"/>
        <s v="Vedamal,Biyabani" u="1"/>
        <s v="Mukesh Agrawal, Dhar" u="1"/>
        <s v="Gupta Book Stores,Nagda" u="1"/>
        <s v="Krishna General Store, Jaora" u="1"/>
        <s v="Sunil Stores,Ashoknagar" u="1"/>
        <s v="Shreeram Kirana Stores, Gujri" u="1"/>
        <s v="khoji traders, siyaganj" u="1"/>
        <s v="Gaurav Kirana Stores, Depalpur" u="1"/>
        <s v="Balram Ahuja,Shamgarh" u="1"/>
        <s v="Agrawal Plastic, Indore" u="1"/>
        <s v="Hatim Brothers, Khargone" u="1"/>
        <s v="Pathak ji ,Vijay Nagar Indore" u="1"/>
        <s v="Pramod Kriplani, Ujjain" u="1"/>
        <s v="Porwal Gift Bhanpura" u="1"/>
        <s v="Pankaj Jain, Aaron" u="1"/>
        <s v="Shivam Agencies, Biston" u="1"/>
        <s v="Sai kripa stationery, indore" u="1"/>
        <s v="Sangvi Sales, Badnawar" u="1"/>
        <s v="Santoosh Chana Parmal, Patnipura" u="1"/>
        <s v="Rakesh Kirana Stores, Nevri" u="1"/>
        <s v="Om Sai Kirana, Sanawad" u="1"/>
        <s v="Kewalchand Prakashchand, Shamgarh" u="1"/>
        <s v="Shree Niwas Mangilal,Garoth" u="1"/>
        <s v="Narayan General Store, Jhalrapatan" u="1"/>
        <s v="A Hussain Lukmanji, Ujjain" u="1"/>
        <s v="Shree Ganesh Kirana Stores, Kodariya" u="1"/>
        <s v="Shree Mahavir Stationery and Suppliers, Rajod" u="1"/>
        <s v="Agrawal General Store,Harda" u="1"/>
        <s v="Sameer Marketing, Guna" u="1"/>
        <s v="Anant Sales, Shivpuri" u="1"/>
        <s v="Yanshika Enterprises, Ujjain" u="1"/>
        <s v="Mehta General Stores, Nevri" u="1"/>
        <s v="Shree Agrawal General Stores, Jhirniya" u="1"/>
        <s v="Manaklal Onkarlal, Khachrod" u="1"/>
        <s v="A One Toys, Amravati" u="1"/>
        <s v="Vijay Stores, Binaganj" u="1"/>
        <s v="Jeevan Upyogi Vastu Bhandar, Hatod" u="1"/>
        <s v="Pooja Sweets, Boda" u="1"/>
        <s v="New Chitoda General Stores, Rao" u="1"/>
        <s v="Vijay Agencies,Guna" u="1"/>
        <s v="Mahavir Kirana, Ashta" u="1"/>
        <s v="Deep Traders, Ranipura" u="1"/>
        <s v="Trivedi General Store, Harda" u="1"/>
        <s v="Pankaj Rope, Guna" u="1"/>
        <s v="Shivam Plastic Sindhi Colony, Indore" u="1"/>
        <s v="Sarvoday Stationery and General Store, Ranapur" u="1"/>
        <s v="Manohar Stores,Harda" u="1"/>
        <s v="Agrawal Brothers, Simrol" u="1"/>
        <s v="Patidar Kirana Stores, Nevri" u="1"/>
        <s v="Hms and Company, Dewas" u="1"/>
        <s v="Sumeet Traders, Binaganj" u="1"/>
        <s v="Shankar, Chandrawatiganj" u="1"/>
        <s v="Surendra Singh Yadav,Mhow" u="1"/>
        <s v="Madhav Enterprises, Manohar Thana" u="1"/>
        <s v="Ramchand &amp; Co.,Dhamnod" u="1"/>
        <s v="Aarav Traders, Guna" u="1"/>
        <s v="Kamal Book Depot, Guna" u="1"/>
        <s v="Prakash General Store, Mangliya" u="1"/>
        <s v="Tony Traders, Shamgarh" u="1"/>
        <s v="Ankit Gupta, Guna" u="1"/>
        <s v="Jugnu Stores, Burhanpur" u="1"/>
        <s v="Jain Sports,Sehore" u="1"/>
        <s v="Sourabh Kirana Stores, Shajapur" u="1"/>
        <s v="Shankar Traders, Pipariya" u="1"/>
        <s v="Radhika General Store, Jhoker (Maksi)" u="1"/>
        <s v="Sainath Sports, Indore" u="1"/>
        <s v="Ujjawal Confectionery, Sandawata" u="1"/>
        <s v="Gyan Ganga Stationery, Ratlam" u="1"/>
        <s v="Maheshwari Stores, Kukdeshwar" u="1"/>
        <s v="Rajesh Gupta, Sandawata" u="1"/>
        <s v="Shyam Sunder Stores, Sanwer" u="1"/>
        <s v="Ashu General stores, Babai" u="1"/>
        <s v="Sanju Collection, Madhusudhangarh" u="1"/>
        <s v="Daksh Bakery, Hatod" u="1"/>
        <s v="Shyam Enterprises,Ratlam" u="1"/>
        <s v="Deepak Sports, Indore" u="1"/>
        <s v="Prakash Traders, Ranapur" u="1"/>
        <s v="Madni Kirana, Naalcha" u="1"/>
        <s v="Sharda Stores, Khategaon" u="1"/>
        <s v="Ravi Yadav, Sanwer" u="1"/>
        <s v="Ramdev Kiranas store,Dhar" u="1"/>
        <s v="Kavita Sales Agency, Bhanpura" u="1"/>
        <s v="Raj Kirana Stores, Karnawad" u="1"/>
        <s v="Sankla Stationery Mart, Kalapipal" u="1"/>
        <s v="Mittal Coin Pvt Ltd, Indore" u="1"/>
        <s v="Dharmendra Traders, Simrol" u="1"/>
        <s v="Shankarlal Gajanand, Dhamnod" u="1"/>
        <s v="Masum Kirana Store, Chinchloi" u="1"/>
        <s v="Akram Khan Iqbal Khan, Jhoker" u="1"/>
        <s v="Manglam Kirana Stores, Kesur" u="1"/>
        <s v="Akshat Supari , Manawar" u="1"/>
        <s v="Sanjay Stationery, Hatpipliya" u="1"/>
        <s v="Customer" u="1"/>
        <s v="Subhash Kirana Stores, Datoda" u="1"/>
        <s v="Radha Swami Traders, Ranipura" u="1"/>
        <s v="Phoolchand Nirmal Kumar jain, Binaganj" u="1"/>
        <s v="Manohar General Stores,Satna" u="1"/>
        <s v="Anjali General, Ashta" u="1"/>
        <s v="Pawan Dixit,Indore" u="1"/>
        <s v="Madhukar General Stores, Khachrod" u="1"/>
        <s v="Jaydeep Traders, Vadodara" u="1"/>
        <s v="Aaron Traders, Biaora" u="1"/>
        <s v="Rajasthan Sports, Ajmer" u="1"/>
        <s v="Kamal Kumar Shantilal, Kesur" u="1"/>
        <s v="SMB Super Store,Sarangpur" u="1"/>
        <s v="Hari Om General Store,Tanda" u="1"/>
        <s v="Monika Kirana Store, Sujalpurmandi" u="1"/>
        <s v="Haji Abdul Azim Bhai &amp; Sons. Alirajpur" u="1"/>
        <s v="Suvidha Stores, Borasa" u="1"/>
        <s v="Ashok Keshav Somani, Alirajpur" u="1"/>
        <s v="Ajay Agrawal,Timarni" u="1"/>
        <s v="Arihant General Stores, Rajgarh" u="1"/>
        <s v="Subhash general Store,Ranipura" u="1"/>
        <s v="NanakRam Jamiyatmal,Harda" u="1"/>
        <s v="Ranu Stores,Barwani" u="1"/>
        <s v="Vasu Traders, Harda" u="1"/>
        <s v="Shrimal Kirana Stores, Sarangpur" u="1"/>
        <s v="New Prince Store,Dhar" u="1"/>
        <s v="Arun And Kapil Marketing, Guna" u="1"/>
        <s v="Sajan Traders, Indore" u="1"/>
        <s v="Akash Traders, Dhar" u="1"/>
        <s v="Lakhan Kirana Stores, Binaganj" u="1"/>
        <s v="Kamdar Kirana Stores,Nagda" u="1"/>
        <s v="Sunder Stores, Indore" u="1"/>
        <s v="sagar pustak bhandar, pratappur" u="1"/>
        <s v="Shree Ram Kirana Stores,Borasa" u="1"/>
        <s v="Workplace Facility Services, Delhi" u="1"/>
        <s v="Navkar General Stores, Khawasa" u="1"/>
        <s v="Ravi Traders ,Burhanpur" u="1"/>
        <s v="New Shubh Medical Stores, Barwani" u="1"/>
        <s v="Babulal Dhanalal,Singhana" u="1"/>
        <s v="Sahara Sales, Mumbai" u="1"/>
        <s v="Single Ballon Mart, Siyaganj" u="1"/>
        <s v="Woodland,Indore" u="1"/>
        <s v="Akhil Jain, Aklrea" u="1"/>
        <s v="Ayaldas Totaldas,bhawanimandi" u="1"/>
        <s v="Kaif Kirana Stores, Seoni Malwa" u="1"/>
        <s v="Aashu Bhai,Guna" u="1"/>
        <s v="Nariyani Cutlery, Kukshi" u="1"/>
        <s v="Sakshi Traders, Ujjain" u="1"/>
        <s v="K. S. Marketing, Aron" u="1"/>
        <s v="Arihant Sports, Patnipura" u="1"/>
        <s v="Karan jyoti stores, gondia" u="1"/>
        <s v="Sadguru Stores, Ratlam" u="1"/>
        <s v="Abdul Hussain Mohammad Ali, Neemuch" u="1"/>
        <s v="Hari Kripa Kirana Stores, Barnagar" u="1"/>
        <s v="Mayur Paan Corner,dewas" u="1"/>
        <s v="Kailash General Stores, Sunel" u="1"/>
        <s v="Sourabh Kirana Stores, Depalpur" u="1"/>
        <s v="Mahavir General Stores, Jhalrapatan" u="1"/>
        <s v="Khoji traders,Siyaganj" u="1"/>
        <s v="Shree Shankar Stationery, Mandsour" u="1"/>
        <s v="Apurva Paan, Ashta" u="1"/>
        <s v="Winnner Turf, Indore" u="1"/>
        <s v="Sanmati general stores, Akodia Mandi" u="1"/>
        <s v="Sanjay Gupta, Alirajpur" u="1"/>
        <s v="Khushbu Point, Jhabua" u="1"/>
        <s v="Bombay Traders, Khandwa" u="1"/>
        <s v="New Saraswati Gift" u="1"/>
        <s v="Gaurav Kirana Manilal, Petlawad" u="1"/>
        <s v="Rathore Kirana, Gajnod" u="1"/>
        <s v="Bafna Kirana Stores, Dhar" u="1"/>
        <s v="Sachin Traders, Gopalpur" u="1"/>
        <s v="Ashok kumar Omprakash, Ruthai" u="1"/>
        <s v="Rajesh Soot Bhandar, Indore" u="1"/>
        <s v="Keswani General Stores,Pusad" u="1"/>
        <s v="Nema Kirana, Pachore" u="1"/>
        <s v="Parshavnath Traders, Chandrawatiganj" u="1"/>
        <s v="Mahavir Sports, Indore" u="1"/>
        <s v="Sobhagmal Ranglal, Badod" u="1"/>
        <s v="Vip Stores,Indore" u="1"/>
        <s v="Deepak Traders, Sendhwa" u="1"/>
        <s v="M Abdeli Rasool Bhai, Ujjain" u="1"/>
        <s v="Utsav Kirana Stores, Sarni" u="1"/>
        <s v="New Saraswati Gift, Rajpur" u="1"/>
        <s v="Kishan Bhai, Jaora" u="1"/>
        <s v="Ronak Paan,tal" u="1"/>
        <s v="New Jacky Stores, Ratlam" u="1"/>
        <s v="Maheshwari Kirana Stores, Rajod" u="1"/>
        <s v="Bhavi Traders, Jaora" u="1"/>
        <s v="Asgar Ali, Sarangpur" u="1"/>
        <s v="Lalwani Kirana Stores, Harda" u="1"/>
        <s v="Jai Maa Falodi Kirana Store, Rajgarh" u="1"/>
        <s v="Guru Computor &amp; General Stores, Sirpur" u="1"/>
        <s v="Poonam Kirana Stores, Bagli" u="1"/>
        <s v="Shyam Kumar Navneet Kumar, Bihana" u="1"/>
        <s v="Shobhagmal Vinodkumar, Barod" u="1"/>
        <s v="Shailja General Stores, Timrani" u="1"/>
        <s v="Malvi Paan Bhandar (Vijay), Sendhwa" u="1"/>
        <s v="Chaurasia Traders, Neemuch" u="1"/>
        <s v="Tanvi Kataruka, Delhi" u="1"/>
        <s v="JMB, Moti Tabela Indore" u="1"/>
        <s v="Lucky Stores, Dewas" u="1"/>
        <s v="Jai Maa Chamunda Traders, Indore" u="1"/>
        <s v="Priya Agencies, Mandsour" u="1"/>
        <s v="Jirati Kirana Stores, Tillor" u="1"/>
        <s v="Nakoda Departmental Stores, Betma" u="1"/>
        <s v="Jain Stores, Guna" u="1"/>
        <s v="New Jaiswal Supari, Indore" u="1"/>
        <s v="Nitin Kirana, Dhamnod" u="1"/>
        <s v="Akshat Traders, Shamgarh" u="1"/>
        <s v="Sheetal Kirana Stores, Manawar" u="1"/>
        <s v="Sajdhaj Stores, Indore" u="1"/>
        <s v="Pravin Sweets, Bhikangaon" u="1"/>
        <s v="Mahavir Sports, Guna" u="1"/>
        <s v="Guruji Confectionery,Binaganj" u="1"/>
        <s v="Nirmal Kirana Stores, Dewas" u="1"/>
        <s v="Bajrang Foods,indore" u="1"/>
        <s v="Mehtab Patel, Datoda" u="1"/>
        <s v="Kothari Suppliers, Ratlam" u="1"/>
        <s v="Sai Sports,Aurangabad" u="1"/>
        <s v="Gopal Mehta, Sonkatch" u="1"/>
        <s v="Duggar Enterprises, Indore" u="1"/>
        <s v="Prasad Traders, Kukshi" u="1"/>
        <s v="Arihant General Stores,Nalkheda" u="1"/>
        <s v="Radhika General Store, Sirali" u="1"/>
        <s v="Arjundas Motumal, Harda" u="1"/>
        <s v="Yusufi Kirana, Shajapur" u="1"/>
        <s v="Bhavin Manohar Lalwani, Dahod" u="1"/>
        <s v="Raju Trading Co, Indore" u="1"/>
        <s v="Lohiya Book Depot, Nagaur" u="1"/>
        <s v="Anupam General Store, Barwah" u="1"/>
        <s v="Suvidha Stores, Dewas" u="1"/>
        <s v="Sharma Paan Bhandar, Chhapida" u="1"/>
        <s v="Virendra Soni, Chatukheda(khujner)" u="1"/>
        <s v="A Sarkar Magic World, Kolkata" u="1"/>
        <s v="Sanyam Traders, Dhar" u="1"/>
        <s v="Satish Kirana Stores, Goutampura" u="1"/>
        <s v="Govind Cutlery Stores, Dahod" u="1"/>
        <s v="Antim Jain, Bedia" u="1"/>
        <s v="Customer, Indore" u="1"/>
        <s v="Ganesh Kirana Stores, Unhel" u="1"/>
        <s v="Indermal Shankarlal, Mhow" u="1"/>
        <s v="Om Stores, Itarsi" u="1"/>
        <s v="Prem Kirana Stores, Sanwer" u="1"/>
        <s v="Annpurna Stores, Dewas" u="1"/>
        <s v="Yogi General Stores, Hatpipliya" u="1"/>
        <s v="Ganesh Bakery, Anjad" u="1"/>
        <s v="Arvind Jain, Dewas" u="1"/>
        <s v="Madni Kirana Stores, Nalcha" u="1"/>
        <s v="J M Traders, Kota" u="1"/>
        <s v="Kallu Pan Masala, Binaganj" u="1"/>
        <s v="Lalit Kirana Stores, Badod" u="1"/>
        <s v="Mp Medical Agency, Ujjain" u="1"/>
        <s v="Modern Sports, Jhansi" u="1"/>
        <s v="Laxmi General Stores, Khalgat" u="1"/>
        <s v="Mukati Kirana Stores, Rangwasa" u="1"/>
        <s v="Bhavsar Kirana Stores, Khetia" u="1"/>
        <s v="Dharmendra Agrawal, Madhusudangarh" u="1"/>
        <s v="Gurudev Traders, Anjad" u="1"/>
        <s v="Vardhan Marketing, Khandwa" u="1"/>
        <s v="Gaurav Kirana Stores, Kannod" u="1"/>
        <s v="New Krishna Point, Dalauda" u="1"/>
        <s v="Ankit Kirana Stores, Ajnod" u="1"/>
        <s v="Ezzy Kirana Stores, Manpur" u="1"/>
        <s v="Seva Trading, Siyaganj" u="1"/>
        <s v="Darwesh Sales Corporation, Bhasodamandi" u="1"/>
        <s v="Pooja Sports,Ranipura" u="1"/>
        <s v="Hasan Brothers, Khargone" u="1"/>
        <s v="Maruti General Store,Unhel" u="1"/>
        <s v="Rajshree Collection" u="1"/>
        <s v="Sonu Pan, Thikri" u="1"/>
        <s v="JeswaniStores &amp; Mobile, Akot" u="1"/>
        <s v="Girdarilal Gupta, Alirajpur" u="1"/>
        <s v="Raghav Kirana Stores, Rajgarh (biwara)" u="1"/>
        <s v="Vardhman General Stores, Talen" u="1"/>
        <s v="Shree Krishna Stores, Mhow" u="1"/>
        <s v="Anoop stores, Narsinghgarh" u="1"/>
        <s v="Eagle Sports &amp; Gift Center, Makrana" u="1"/>
        <s v="Punjab Stores,Shamgarh" u="1"/>
        <s v="Om Marketing, Akola" u="1"/>
        <s v="Bharti General Store, Akodia Mandi" u="1"/>
        <s v="Mohit Kirana Stores, Pansamel" u="1"/>
        <s v="Gopal Rathore, Dhar" u="1"/>
        <s v="Mukund Jain, Susari" u="1"/>
        <s v="Saraswati Stationery,Sendhwa" u="1"/>
        <s v="Dinesh Parihar,Depalpur" u="1"/>
        <s v="New Hakimi General Stores, Dahi" u="1"/>
        <s v="Mukesh Dabi,Gandhwani" u="1"/>
        <s v="Karnawat" u="1"/>
        <s v="R G Traders, Siyaganj" u="1"/>
        <s v="Harish Bhai, Amravati" u="1"/>
        <s v="Netik Kirana Stores, Bagdi Phata" u="1"/>
        <s v="Umartiya General Stores, Bakani" u="1"/>
        <s v="Shankar Stationery,Mandsour" u="1"/>
        <s v="Sanjeev Chatarpuriya, Guna" u="1"/>
        <s v="Jawahar Lal Motilal, Unhel" u="1"/>
        <s v="Rahul,Mhow" u="1"/>
        <s v="Mahavir  Kirana Store, Chapda" u="1"/>
        <s v="Haribhai Khilonewala, Besodamandi" u="1"/>
        <s v="Karodia Enterprises, Pachore" u="1"/>
        <s v="Bashir Bhai, Dongargaon" u="1"/>
        <s v="Sambhav Kirana, Binaganj" u="1"/>
        <s v="Bajrang Paan, Alirajpur" u="1"/>
        <s v="Swastik Traders, Chapihera" u="1"/>
        <s v="Pinjani Traders, Pipriya" u="1"/>
        <s v="Quick Pantry, Dhar" u="1"/>
        <s v="Shree Giriraj Traders, Soyatkalan" u="1"/>
        <s v="Laxmi Narayan Gokulchand Sahu, Raghogarh" u="1"/>
        <s v="Prakash Gupta, Padana" u="1"/>
        <s v="Babji General Store, Sehore" u="1"/>
        <s v="Maa Gyatri Agency,Dharampuri" u="1"/>
      </sharedItems>
    </cacheField>
    <cacheField name="Date " numFmtId="14">
      <sharedItems containsNonDate="0" containsDate="1" containsString="0" containsBlank="1" minDate="2022-09-19T00:00:00" maxDate="2024-04-01T00:00:00" count="346">
        <m/>
        <d v="2024-03-31T00:00:00"/>
        <d v="2023-09-16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3T00:00:00" u="1"/>
        <d v="2023-10-25T00:00:00" u="1"/>
        <d v="2023-10-26T00:00:00" u="1"/>
        <d v="2023-10-27T00:00:00" u="1"/>
        <d v="2023-10-28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6T00:00:00" u="1"/>
        <d v="2023-11-07T00:00:00" u="1"/>
        <d v="2023-11-08T00:00:00" u="1"/>
        <d v="2023-11-10T00:00:00" u="1"/>
        <d v="2023-11-11T00:00:00" u="1"/>
        <d v="2023-11-12T00:00:00" u="1"/>
        <d v="2023-11-14T00:00:00" u="1"/>
        <d v="2023-11-15T00:00:00" u="1"/>
        <d v="2023-11-16T00:00:00" u="1"/>
        <d v="2023-11-17T00:00:00" u="1"/>
        <d v="2022-09-29T00:00:00" u="1"/>
        <d v="2022-11-21T00:00:00" u="1"/>
        <d v="2022-10-27T00:00:00" u="1"/>
        <d v="2022-11-23T00:00:00" u="1"/>
        <d v="2022-12-19T00:00:00" u="1"/>
        <d v="2022-10-29T00:00:00" u="1"/>
        <d v="2022-11-25T00:00:00" u="1"/>
        <d v="2022-12-21T00:00:00" u="1"/>
        <d v="2023-01-02T00:00:00" u="1"/>
        <d v="2022-10-31T00:00:00" u="1"/>
        <d v="2022-12-23T00:00:00" u="1"/>
        <d v="2023-01-04T00:00:00" u="1"/>
        <d v="2022-11-29T00:00:00" u="1"/>
        <d v="2023-01-06T00:00:00" u="1"/>
        <d v="2023-02-02T00:00:00" u="1"/>
        <d v="2022-12-27T00:00:00" u="1"/>
        <d v="2023-02-04T00:00:00" u="1"/>
        <d v="2022-12-29T00:00:00" u="1"/>
        <d v="2023-01-10T00:00:00" u="1"/>
        <d v="2023-02-06T00:00:00" u="1"/>
        <d v="2023-03-02T00:00:00" u="1"/>
        <d v="2022-12-31T00:00:00" u="1"/>
        <d v="2023-01-12T00:00:00" u="1"/>
        <d v="2023-02-08T00:00:00" u="1"/>
        <d v="2023-03-04T00:00:00" u="1"/>
        <d v="2023-01-14T00:00:00" u="1"/>
        <d v="2023-02-10T00:00:00" u="1"/>
        <d v="2023-03-06T00:00:00" u="1"/>
        <d v="2023-01-16T00:00:00" u="1"/>
        <d v="2023-04-04T00:00:00" u="1"/>
        <d v="2023-01-18T00:00:00" u="1"/>
        <d v="2023-02-14T00:00:00" u="1"/>
        <d v="2023-03-10T00:00:00" u="1"/>
        <d v="2023-04-06T00:00:00" u="1"/>
        <d v="2023-05-02T00:00:00" u="1"/>
        <d v="2023-01-20T00:00:00" u="1"/>
        <d v="2023-02-16T00:00:00" u="1"/>
        <d v="2023-04-08T00:00:00" u="1"/>
        <d v="2023-05-04T00:00:00" u="1"/>
        <d v="2023-03-14T00:00:00" u="1"/>
        <d v="2023-04-10T00:00:00" u="1"/>
        <d v="2023-05-06T00:00:00" u="1"/>
        <d v="2023-06-02T00:00:00" u="1"/>
        <d v="2023-01-24T00:00:00" u="1"/>
        <d v="2023-02-20T00:00:00" u="1"/>
        <d v="2023-03-16T00:00:00" u="1"/>
        <d v="2023-04-12T00:00:00" u="1"/>
        <d v="2023-05-08T00:00:00" u="1"/>
        <d v="2023-02-22T00:00:00" u="1"/>
        <d v="2023-03-18T00:00:00" u="1"/>
        <d v="2023-04-14T00:00:00" u="1"/>
        <d v="2023-05-10T00:00:00" u="1"/>
        <d v="2023-06-06T00:00:00" u="1"/>
        <d v="2023-01-28T00:00:00" u="1"/>
        <d v="2023-02-24T00:00:00" u="1"/>
        <d v="2023-03-20T00:00:00" u="1"/>
        <d v="2023-05-12T00:00:00" u="1"/>
        <d v="2023-06-08T00:00:00" u="1"/>
        <d v="2023-07-04T00:00:00" u="1"/>
        <d v="2023-01-30T00:00:00" u="1"/>
        <d v="2023-03-22T00:00:00" u="1"/>
        <d v="2023-04-18T00:00:00" u="1"/>
        <d v="2023-06-10T00:00:00" u="1"/>
        <d v="2023-07-06T00:00:00" u="1"/>
        <d v="2023-08-02T00:00:00" u="1"/>
        <d v="2023-02-28T00:00:00" u="1"/>
        <d v="2023-03-24T00:00:00" u="1"/>
        <d v="2023-04-20T00:00:00" u="1"/>
        <d v="2023-05-16T00:00:00" u="1"/>
        <d v="2023-06-12T00:00:00" u="1"/>
        <d v="2023-07-08T00:00:00" u="1"/>
        <d v="2023-08-04T00:00:00" u="1"/>
        <d v="2023-04-22T00:00:00" u="1"/>
        <d v="2023-05-18T00:00:00" u="1"/>
        <d v="2023-06-14T00:00:00" u="1"/>
        <d v="2023-07-10T00:00:00" u="1"/>
        <d v="2023-09-02T00:00:00" u="1"/>
        <d v="2023-03-28T00:00:00" u="1"/>
        <d v="2023-04-24T00:00:00" u="1"/>
        <d v="2023-05-20T00:00:00" u="1"/>
        <d v="2023-06-16T00:00:00" u="1"/>
        <d v="2023-07-12T00:00:00" u="1"/>
        <d v="2023-08-08T00:00:00" u="1"/>
        <d v="2023-09-04T00:00:00" u="1"/>
        <d v="2023-03-30T00:00:00" u="1"/>
        <d v="2023-04-26T00:00:00" u="1"/>
        <d v="2023-05-22T00:00:00" u="1"/>
        <d v="2023-07-14T00:00:00" u="1"/>
        <d v="2023-08-10T00:00:00" u="1"/>
        <d v="2023-09-06T00:00:00" u="1"/>
        <d v="2023-04-28T00:00:00" u="1"/>
        <d v="2023-05-24T00:00:00" u="1"/>
        <d v="2023-06-20T00:00:00" u="1"/>
        <d v="2023-08-12T00:00:00" u="1"/>
        <d v="2023-09-08T00:00:00" u="1"/>
        <d v="2022-10-04T00:00:00" u="1"/>
        <d v="2023-05-26T00:00:00" u="1"/>
        <d v="2023-06-22T00:00:00" u="1"/>
        <d v="2023-07-18T00:00:00" u="1"/>
        <d v="2023-08-14T00:00:00" u="1"/>
        <d v="2022-10-06T00:00:00" u="1"/>
        <d v="2022-11-02T00:00:00" u="1"/>
        <d v="2023-06-24T00:00:00" u="1"/>
        <d v="2023-07-20T00:00:00" u="1"/>
        <d v="2023-08-16T00:00:00" u="1"/>
        <d v="2023-09-12T00:00:00" u="1"/>
        <d v="2022-10-08T00:00:00" u="1"/>
        <d v="2022-11-04T00:00:00" u="1"/>
        <d v="2023-05-30T00:00:00" u="1"/>
        <d v="2023-06-26T00:00:00" u="1"/>
        <d v="2023-07-22T00:00:00" u="1"/>
        <d v="2023-08-18T00:00:00" u="1"/>
        <d v="2023-09-14T00:00:00" u="1"/>
        <d v="2022-10-10T00:00:00" u="1"/>
        <d v="2022-12-02T00:00:00" u="1"/>
        <d v="2023-06-28T00:00:00" u="1"/>
        <d v="2023-07-24T00:00:00" u="1"/>
        <d v="2022-10-12T00:00:00" u="1"/>
        <d v="2022-11-08T00:00:00" u="1"/>
        <d v="2023-06-30T00:00:00" u="1"/>
        <d v="2023-08-22T00:00:00" u="1"/>
        <d v="2022-10-14T00:00:00" u="1"/>
        <d v="2022-11-10T00:00:00" u="1"/>
        <d v="2022-12-06T00:00:00" u="1"/>
        <d v="2023-07-28T00:00:00" u="1"/>
        <d v="2023-08-24T00:00:00" u="1"/>
        <d v="2022-09-20T00:00:00" u="1"/>
        <d v="2022-11-12T00:00:00" u="1"/>
        <d v="2022-12-08T00:00:00" u="1"/>
        <d v="2023-08-26T00:00:00" u="1"/>
        <d v="2022-09-22T00:00:00" u="1"/>
        <d v="2022-10-18T00:00:00" u="1"/>
        <d v="2022-11-14T00:00:00" u="1"/>
        <d v="2023-08-28T00:00:00" u="1"/>
        <d v="2022-09-24T00:00:00" u="1"/>
        <d v="2022-10-20T00:00:00" u="1"/>
        <d v="2022-11-16T00:00:00" u="1"/>
        <d v="2022-12-12T00:00:00" u="1"/>
        <d v="2022-09-26T00:00:00" u="1"/>
        <d v="2022-10-22T00:00:00" u="1"/>
        <d v="2022-11-18T00:00:00" u="1"/>
        <d v="2022-12-14T00:00:00" u="1"/>
        <d v="2022-09-28T00:00:00" u="1"/>
        <d v="2022-12-16T00:00:00" u="1"/>
        <d v="2022-09-30T00:00:00" u="1"/>
        <d v="2022-11-22T00:00:00" u="1"/>
        <d v="2022-10-28T00:00:00" u="1"/>
        <d v="2022-11-24T00:00:00" u="1"/>
        <d v="2022-12-20T00:00:00" u="1"/>
        <d v="2022-11-26T00:00:00" u="1"/>
        <d v="2022-12-22T00:00:00" u="1"/>
        <d v="2023-01-03T00:00:00" u="1"/>
        <d v="2022-11-28T00:00:00" u="1"/>
        <d v="2023-01-05T00:00:00" u="1"/>
        <d v="2023-02-01T00:00:00" u="1"/>
        <d v="2023-01-07T00:00:00" u="1"/>
        <d v="2023-02-03T00:00:00" u="1"/>
        <d v="2022-12-28T00:00:00" u="1"/>
        <d v="2023-01-09T00:00:00" u="1"/>
        <d v="2023-03-01T00:00:00" u="1"/>
        <d v="2022-12-30T00:00:00" u="1"/>
        <d v="2023-01-11T00:00:00" u="1"/>
        <d v="2023-02-07T00:00:00" u="1"/>
        <d v="2023-03-03T00:00:00" u="1"/>
        <d v="2023-01-13T00:00:00" u="1"/>
        <d v="2023-02-09T00:00:00" u="1"/>
        <d v="2023-04-01T00:00:00" u="1"/>
        <d v="2023-03-07T00:00:00" u="1"/>
        <d v="2023-04-03T00:00:00" u="1"/>
        <d v="2023-01-17T00:00:00" u="1"/>
        <d v="2023-02-13T00:00:00" u="1"/>
        <d v="2023-03-09T00:00:00" u="1"/>
        <d v="2023-04-05T00:00:00" u="1"/>
        <d v="2023-05-01T00:00:00" u="1"/>
        <d v="2023-01-19T00:00:00" u="1"/>
        <d v="2023-02-15T00:00:00" u="1"/>
        <d v="2023-03-11T00:00:00" u="1"/>
        <d v="2023-04-07T00:00:00" u="1"/>
        <d v="2023-01-21T00:00:00" u="1"/>
        <d v="2023-02-17T00:00:00" u="1"/>
        <d v="2023-03-13T00:00:00" u="1"/>
        <d v="2023-05-05T00:00:00" u="1"/>
        <d v="2023-06-01T00:00:00" u="1"/>
        <d v="2023-01-23T00:00:00" u="1"/>
        <d v="2023-03-15T00:00:00" u="1"/>
        <d v="2023-04-11T00:00:00" u="1"/>
        <d v="2023-06-03T00:00:00" u="1"/>
        <d v="2023-01-25T00:00:00" u="1"/>
        <d v="2023-02-21T00:00:00" u="1"/>
        <d v="2023-03-17T00:00:00" u="1"/>
        <d v="2023-04-13T00:00:00" u="1"/>
        <d v="2023-05-09T00:00:00" u="1"/>
        <d v="2023-06-05T00:00:00" u="1"/>
        <d v="2023-07-01T00:00:00" u="1"/>
        <d v="2023-01-27T00:00:00" u="1"/>
        <d v="2023-02-23T00:00:00" u="1"/>
        <d v="2023-04-15T00:00:00" u="1"/>
        <d v="2023-05-11T00:00:00" u="1"/>
        <d v="2023-06-07T00:00:00" u="1"/>
        <d v="2023-07-03T00:00:00" u="1"/>
        <d v="2023-02-25T00:00:00" u="1"/>
        <d v="2023-03-21T00:00:00" u="1"/>
        <d v="2023-04-17T00:00:00" u="1"/>
        <d v="2023-05-13T00:00:00" u="1"/>
        <d v="2023-06-09T00:00:00" u="1"/>
        <d v="2023-07-05T00:00:00" u="1"/>
        <d v="2023-08-01T00:00:00" u="1"/>
        <d v="2023-01-31T00:00:00" u="1"/>
        <d v="2023-02-27T00:00:00" u="1"/>
        <d v="2023-03-23T00:00:00" u="1"/>
        <d v="2023-05-15T00:00:00" u="1"/>
        <d v="2023-07-07T00:00:00" u="1"/>
        <d v="2023-08-03T00:00:00" u="1"/>
        <d v="2023-03-25T00:00:00" u="1"/>
        <d v="2023-04-21T00:00:00" u="1"/>
        <d v="2023-05-17T00:00:00" u="1"/>
        <d v="2023-06-13T00:00:00" u="1"/>
        <d v="2023-08-05T00:00:00" u="1"/>
        <d v="2023-09-01T00:00:00" u="1"/>
        <d v="2023-03-27T00:00:00" u="1"/>
        <d v="2023-05-19T00:00:00" u="1"/>
        <d v="2023-06-15T00:00:00" u="1"/>
        <d v="2023-07-11T00:00:00" u="1"/>
        <d v="2023-08-07T00:00:00" u="1"/>
        <d v="2023-03-29T00:00:00" u="1"/>
        <d v="2023-04-25T00:00:00" u="1"/>
        <d v="2023-06-17T00:00:00" u="1"/>
        <d v="2023-07-13T00:00:00" u="1"/>
        <d v="2023-08-09T00:00:00" u="1"/>
        <d v="2023-09-05T00:00:00" u="1"/>
        <d v="2022-10-01T00:00:00" u="1"/>
        <d v="2023-03-31T00:00:00" u="1"/>
        <d v="2023-04-27T00:00:00" u="1"/>
        <d v="2023-05-23T00:00:00" u="1"/>
        <d v="2023-06-19T00:00:00" u="1"/>
        <d v="2023-07-15T00:00:00" u="1"/>
        <d v="2023-08-11T00:00:00" u="1"/>
        <d v="2023-09-07T00:00:00" u="1"/>
        <d v="2022-10-03T00:00:00" u="1"/>
        <d v="2023-05-25T00:00:00" u="1"/>
        <d v="2023-06-21T00:00:00" u="1"/>
        <d v="2023-07-17T00:00:00" u="1"/>
        <d v="2023-09-09T00:00:00" u="1"/>
        <d v="2022-11-01T00:00:00" u="1"/>
        <d v="2023-05-27T00:00:00" u="1"/>
        <d v="2023-06-23T00:00:00" u="1"/>
        <d v="2023-07-19T00:00:00" u="1"/>
        <d v="2023-09-11T00:00:00" u="1"/>
        <d v="2022-10-07T00:00:00" u="1"/>
        <d v="2022-11-03T00:00:00" u="1"/>
        <d v="2023-05-29T00:00:00" u="1"/>
        <d v="2023-07-21T00:00:00" u="1"/>
        <d v="2023-08-17T00:00:00" u="1"/>
        <d v="2023-09-13T00:00:00" u="1"/>
        <d v="2022-11-05T00:00:00" u="1"/>
        <d v="2022-12-01T00:00:00" u="1"/>
        <d v="2023-05-31T00:00:00" u="1"/>
        <d v="2023-06-27T00:00:00" u="1"/>
        <d v="2023-08-19T00:00:00" u="1"/>
        <d v="2023-09-15T00:00:00" u="1"/>
        <d v="2022-10-11T00:00:00" u="1"/>
        <d v="2022-11-07T00:00:00" u="1"/>
        <d v="2022-12-03T00:00:00" u="1"/>
        <d v="2023-06-29T00:00:00" u="1"/>
        <d v="2023-07-25T00:00:00" u="1"/>
        <d v="2023-08-21T00:00:00" u="1"/>
        <d v="2022-10-13T00:00:00" u="1"/>
        <d v="2022-11-09T00:00:00" u="1"/>
        <d v="2023-07-27T00:00:00" u="1"/>
        <d v="2023-08-23T00:00:00" u="1"/>
        <d v="2022-09-19T00:00:00" u="1"/>
        <d v="2022-10-15T00:00:00" u="1"/>
        <d v="2022-11-11T00:00:00" u="1"/>
        <d v="2022-12-07T00:00:00" u="1"/>
        <d v="2023-07-29T00:00:00" u="1"/>
        <d v="2023-08-25T00:00:00" u="1"/>
        <d v="2022-09-21T00:00:00" u="1"/>
        <d v="2022-10-17T00:00:00" u="1"/>
        <d v="2022-12-09T00:00:00" u="1"/>
        <d v="2023-07-31T00:00:00" u="1"/>
        <d v="2022-09-23T00:00:00" u="1"/>
        <d v="2022-10-19T00:00:00" u="1"/>
        <d v="2022-11-15T00:00:00" u="1"/>
        <d v="2023-08-29T00:00:00" u="1"/>
        <d v="2022-10-21T00:00:00" u="1"/>
        <d v="2022-11-17T00:00:00" u="1"/>
        <d v="2022-12-13T00:00:00" u="1"/>
        <d v="2023-08-31T00:00:00" u="1"/>
        <d v="2022-09-27T00:00:00" u="1"/>
        <d v="2022-10-23T00:00:00" u="1"/>
        <d v="2022-11-19T00:00:00" u="1"/>
        <d v="2022-12-15T00:00:00" u="1"/>
      </sharedItems>
    </cacheField>
    <cacheField name="Amount" numFmtId="7">
      <sharedItems containsString="0" containsBlank="1" containsNumber="1" containsInteger="1" minValue="0" maxValue="0"/>
    </cacheField>
    <cacheField name="Paid" numFmtId="0">
      <sharedItems containsNonDate="0" containsString="0" containsBlank="1"/>
    </cacheField>
    <cacheField name="Invoice saved as PDF" numFmtId="0">
      <sharedItems containsNonDate="0" containsString="0" containsBlank="1"/>
    </cacheField>
    <cacheField name="Invoice saved as exce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8"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1"/>
    <x v="0"/>
    <x v="1"/>
    <n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DC6B81-E652-44C4-96D0-649A5EC3F86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gridDropZones="1" multipleFieldFilters="0">
  <location ref="A3:D7" firstHeaderRow="2" firstDataRow="2" firstDataCol="3"/>
  <pivotFields count="7">
    <pivotField axis="axisRow" compact="0" outline="0" showAll="0" sortType="ascending" defaultSubtotal="0">
      <items count="2193">
        <item m="1" x="800"/>
        <item m="1" x="976"/>
        <item m="1" x="1150"/>
        <item m="1" x="1328"/>
        <item m="1" x="1507"/>
        <item m="1" x="1685"/>
        <item m="1" x="1863"/>
        <item m="1" x="2040"/>
        <item m="1" x="327"/>
        <item m="1" x="499"/>
        <item m="1" x="670"/>
        <item m="1" x="846"/>
        <item m="1" x="1021"/>
        <item m="1" x="1196"/>
        <item m="1" x="1374"/>
        <item m="1" x="1552"/>
        <item m="1" x="1731"/>
        <item m="1" x="1908"/>
        <item m="1" x="2085"/>
        <item m="1" x="372"/>
        <item m="1" x="544"/>
        <item m="1" x="714"/>
        <item m="1" x="890"/>
        <item m="1" x="1065"/>
        <item m="1" x="1241"/>
        <item m="1" x="1419"/>
        <item m="1" x="1597"/>
        <item m="1" x="1775"/>
        <item m="1" x="1953"/>
        <item m="1" x="2127"/>
        <item m="1" x="415"/>
        <item m="1" x="586"/>
        <item m="1" x="758"/>
        <item m="1" x="935"/>
        <item m="1" x="1110"/>
        <item m="1" x="1286"/>
        <item m="1" x="1465"/>
        <item m="1" x="1643"/>
        <item m="1" x="1821"/>
        <item m="1" x="1998"/>
        <item m="1" x="2171"/>
        <item m="1" x="459"/>
        <item m="1" x="630"/>
        <item m="1" x="804"/>
        <item m="1" x="980"/>
        <item m="1" x="1154"/>
        <item m="1" x="1332"/>
        <item m="1" x="1511"/>
        <item m="1" x="1689"/>
        <item m="1" x="1867"/>
        <item m="1" x="2044"/>
        <item m="1" x="331"/>
        <item m="1" x="503"/>
        <item m="1" x="674"/>
        <item m="1" x="850"/>
        <item m="1" x="1025"/>
        <item m="1" x="1200"/>
        <item m="1" x="1378"/>
        <item m="1" x="1556"/>
        <item m="1" x="1735"/>
        <item m="1" x="1912"/>
        <item m="1" x="2089"/>
        <item m="1" x="376"/>
        <item m="1" x="548"/>
        <item m="1" x="718"/>
        <item m="1" x="894"/>
        <item m="1" x="1069"/>
        <item m="1" x="1245"/>
        <item m="1" x="1423"/>
        <item m="1" x="1601"/>
        <item m="1" x="1779"/>
        <item m="1" x="1957"/>
        <item m="1" x="2131"/>
        <item m="1" x="419"/>
        <item m="1" x="590"/>
        <item m="1" x="762"/>
        <item m="1" x="1114"/>
        <item m="1" x="1290"/>
        <item m="1" x="1469"/>
        <item m="1" x="1647"/>
        <item m="1" x="1825"/>
        <item m="1" x="2002"/>
        <item m="1" x="2175"/>
        <item m="1" x="463"/>
        <item m="1" x="634"/>
        <item m="1" x="808"/>
        <item m="1" x="984"/>
        <item m="1" x="1158"/>
        <item m="1" x="1336"/>
        <item m="1" x="1515"/>
        <item m="1" x="1693"/>
        <item m="1" x="1871"/>
        <item m="1" x="2048"/>
        <item m="1" x="335"/>
        <item m="1" x="507"/>
        <item m="1" x="678"/>
        <item m="1" x="854"/>
        <item m="1" x="1029"/>
        <item m="1" x="1204"/>
        <item m="1" x="1382"/>
        <item m="1" x="1560"/>
        <item m="1" x="1739"/>
        <item m="1" x="1916"/>
        <item m="1" x="2092"/>
        <item m="1" x="379"/>
        <item m="1" x="551"/>
        <item m="1" x="722"/>
        <item m="1" x="1074"/>
        <item m="1" x="1250"/>
        <item m="1" x="1428"/>
        <item m="1" x="1606"/>
        <item m="1" x="1784"/>
        <item m="1" x="1962"/>
        <item m="1" x="424"/>
        <item m="1" x="595"/>
        <item m="1" x="767"/>
        <item m="1" x="943"/>
        <item m="1" x="1295"/>
        <item m="1" x="1474"/>
        <item m="1" x="1652"/>
        <item m="1" x="1830"/>
        <item m="1" x="2007"/>
        <item m="1" x="2179"/>
        <item m="1" x="467"/>
        <item m="1" x="639"/>
        <item m="1" x="813"/>
        <item m="1" x="989"/>
        <item m="1" x="1163"/>
        <item m="1" x="1341"/>
        <item m="1" x="1520"/>
        <item m="1" x="1698"/>
        <item m="1" x="1876"/>
        <item m="1" x="2053"/>
        <item m="1" x="340"/>
        <item m="1" x="512"/>
        <item m="1" x="683"/>
        <item m="1" x="859"/>
        <item m="1" x="1034"/>
        <item m="1" x="1209"/>
        <item m="1" x="1387"/>
        <item m="1" x="1565"/>
        <item m="1" x="1744"/>
        <item m="1" x="1921"/>
        <item m="1" x="2097"/>
        <item m="1" x="384"/>
        <item m="1" x="556"/>
        <item m="1" x="727"/>
        <item m="1" x="903"/>
        <item m="1" x="1079"/>
        <item m="1" x="1255"/>
        <item m="1" x="1433"/>
        <item m="1" x="1611"/>
        <item m="1" x="1789"/>
        <item m="1" x="1967"/>
        <item m="1" x="2140"/>
        <item m="1" x="600"/>
        <item m="1" x="772"/>
        <item m="1" x="948"/>
        <item m="1" x="1123"/>
        <item m="1" x="1300"/>
        <item m="1" x="1479"/>
        <item m="1" x="1657"/>
        <item m="1" x="1835"/>
        <item m="1" x="2012"/>
        <item m="1" x="2183"/>
        <item m="1" x="472"/>
        <item m="1" x="644"/>
        <item m="1" x="818"/>
        <item m="1" x="994"/>
        <item m="1" x="1168"/>
        <item m="1" x="1346"/>
        <item m="1" x="1525"/>
        <item m="1" x="1703"/>
        <item m="1" x="1881"/>
        <item m="1" x="2057"/>
        <item m="1" x="344"/>
        <item m="1" x="516"/>
        <item m="1" x="687"/>
        <item m="1" x="863"/>
        <item m="1" x="1038"/>
        <item m="1" x="1213"/>
        <item m="1" x="1391"/>
        <item m="1" x="1569"/>
        <item m="1" x="1748"/>
        <item m="1" x="1925"/>
        <item m="1" x="2101"/>
        <item m="1" x="388"/>
        <item m="1" x="560"/>
        <item m="1" x="907"/>
        <item m="1" x="1083"/>
        <item m="1" x="1437"/>
        <item m="1" x="1615"/>
        <item m="1" x="1793"/>
        <item m="1" x="1970"/>
        <item m="1" x="2143"/>
        <item m="1" x="431"/>
        <item m="1" x="603"/>
        <item m="1" x="775"/>
        <item m="1" x="951"/>
        <item m="1" x="1303"/>
        <item m="1" x="1482"/>
        <item m="1" x="1660"/>
        <item m="1" x="1838"/>
        <item m="1" x="2015"/>
        <item m="1" x="2186"/>
        <item m="1" x="475"/>
        <item m="1" x="647"/>
        <item m="1" x="821"/>
        <item m="1" x="1171"/>
        <item m="1" x="1349"/>
        <item m="1" x="1528"/>
        <item m="1" x="1706"/>
        <item m="1" x="1884"/>
        <item m="1" x="2060"/>
        <item m="1" x="347"/>
        <item m="1" x="519"/>
        <item m="1" x="690"/>
        <item m="1" x="866"/>
        <item m="1" x="1041"/>
        <item m="1" x="1216"/>
        <item m="1" x="1394"/>
        <item m="1" x="1572"/>
        <item m="1" x="1751"/>
        <item m="1" x="1928"/>
        <item m="1" x="2104"/>
        <item m="1" x="391"/>
        <item m="1" x="563"/>
        <item m="1" x="733"/>
        <item m="1" x="910"/>
        <item m="1" x="1086"/>
        <item m="1" x="1261"/>
        <item m="1" x="1440"/>
        <item m="1" x="1618"/>
        <item m="1" x="1796"/>
        <item m="1" x="1973"/>
        <item m="1" x="2146"/>
        <item m="1" x="434"/>
        <item m="1" x="606"/>
        <item m="1" x="778"/>
        <item m="1" x="954"/>
        <item m="1" x="1128"/>
        <item m="1" x="1306"/>
        <item m="1" x="1485"/>
        <item m="1" x="1663"/>
        <item m="1" x="1841"/>
        <item m="1" x="2018"/>
        <item m="1" x="2189"/>
        <item m="1" x="478"/>
        <item m="1" x="650"/>
        <item m="1" x="824"/>
        <item m="1" x="999"/>
        <item m="1" x="1174"/>
        <item m="1" x="1352"/>
        <item m="1" x="1531"/>
        <item m="1" x="1709"/>
        <item m="1" x="1887"/>
        <item m="1" x="2063"/>
        <item m="1" x="350"/>
        <item m="1" x="522"/>
        <item m="1" x="693"/>
        <item m="1" x="1219"/>
        <item m="1" x="1397"/>
        <item m="1" x="1575"/>
        <item m="1" x="1754"/>
        <item m="1" x="1931"/>
        <item m="1" x="2107"/>
        <item m="1" x="394"/>
        <item m="1" x="566"/>
        <item m="1" x="736"/>
        <item m="1" x="913"/>
        <item m="1" x="1264"/>
        <item m="1" x="1443"/>
        <item m="1" x="1621"/>
        <item m="1" x="1799"/>
        <item m="1" x="1976"/>
        <item m="1" x="2149"/>
        <item m="1" x="437"/>
        <item m="1" x="609"/>
        <item m="1" x="781"/>
        <item m="1" x="957"/>
        <item m="1" x="1131"/>
        <item m="1" x="1309"/>
        <item m="1" x="1488"/>
        <item m="1" x="1666"/>
        <item m="1" x="1844"/>
        <item m="1" x="2021"/>
        <item m="1" x="2192"/>
        <item m="1" x="481"/>
        <item m="1" x="827"/>
        <item m="1" x="1002"/>
        <item m="1" x="1177"/>
        <item m="1" x="1355"/>
        <item m="1" x="1712"/>
        <item m="1" x="1890"/>
        <item m="1" x="2066"/>
        <item m="1" x="353"/>
        <item m="1" x="525"/>
        <item m="1" x="696"/>
        <item m="1" x="871"/>
        <item m="1" x="1046"/>
        <item m="1" x="1222"/>
        <item m="1" x="1400"/>
        <item m="1" x="1578"/>
        <item m="1" x="1757"/>
        <item m="1" x="1934"/>
        <item m="1" x="397"/>
        <item m="1" x="739"/>
        <item m="1" x="916"/>
        <item m="1" x="1091"/>
        <item m="1" x="1267"/>
        <item m="1" x="1446"/>
        <item m="1" x="1624"/>
        <item m="1" x="1802"/>
        <item m="1" x="1979"/>
        <item m="1" x="2152"/>
        <item m="1" x="440"/>
        <item m="1" x="612"/>
        <item m="1" x="784"/>
        <item m="1" x="960"/>
        <item m="1" x="1134"/>
        <item m="1" x="1312"/>
        <item m="1" x="1491"/>
        <item m="1" x="1669"/>
        <item m="1" x="1847"/>
        <item m="1" x="2024"/>
        <item m="1" x="311"/>
        <item m="1" x="484"/>
        <item m="1" x="655"/>
        <item m="1" x="830"/>
        <item m="1" x="1005"/>
        <item m="1" x="1180"/>
        <item m="1" x="1358"/>
        <item m="1" x="1536"/>
        <item m="1" x="1715"/>
        <item m="1" x="1893"/>
        <item m="1" x="2069"/>
        <item m="1" x="356"/>
        <item m="1" x="528"/>
        <item m="1" x="699"/>
        <item m="1" x="874"/>
        <item m="1" x="1049"/>
        <item m="1" x="1225"/>
        <item m="1" x="1403"/>
        <item m="1" x="1581"/>
        <item m="1" x="1760"/>
        <item m="1" x="1937"/>
        <item m="1" x="2112"/>
        <item m="1" x="400"/>
        <item m="1" x="571"/>
        <item m="1" x="742"/>
        <item m="1" x="919"/>
        <item m="1" x="1094"/>
        <item m="1" x="1270"/>
        <item m="1" x="1449"/>
        <item m="1" x="1627"/>
        <item m="1" x="1805"/>
        <item m="1" x="1982"/>
        <item m="1" x="2155"/>
        <item m="1" x="443"/>
        <item m="1" x="615"/>
        <item m="1" x="787"/>
        <item m="1" x="963"/>
        <item m="1" x="1137"/>
        <item m="1" x="1315"/>
        <item m="1" x="1494"/>
        <item m="1" x="1672"/>
        <item m="1" x="1850"/>
        <item m="1" x="2027"/>
        <item m="1" x="314"/>
        <item m="1" x="658"/>
        <item m="1" x="833"/>
        <item m="1" x="1008"/>
        <item m="1" x="1183"/>
        <item m="1" x="1361"/>
        <item m="1" x="1539"/>
        <item m="1" x="1718"/>
        <item m="1" x="1896"/>
        <item m="1" x="2072"/>
        <item m="1" x="359"/>
        <item m="1" x="531"/>
        <item m="1" x="702"/>
        <item m="1" x="877"/>
        <item m="1" x="1052"/>
        <item m="1" x="1228"/>
        <item m="1" x="1406"/>
        <item m="1" x="1584"/>
        <item m="1" x="1940"/>
        <item m="1" x="745"/>
        <item m="1" x="922"/>
        <item m="1" x="1097"/>
        <item m="1" x="1273"/>
        <item m="1" x="1452"/>
        <item m="1" x="1630"/>
        <item m="1" x="1808"/>
        <item m="1" x="1985"/>
        <item m="1" x="2158"/>
        <item m="1" x="446"/>
        <item m="1" x="618"/>
        <item m="1" x="790"/>
        <item m="1" x="966"/>
        <item m="1" x="1140"/>
        <item m="1" x="1318"/>
        <item m="1" x="1497"/>
        <item m="1" x="1675"/>
        <item m="1" x="1853"/>
        <item m="1" x="2030"/>
        <item m="1" x="317"/>
        <item m="1" x="489"/>
        <item m="1" x="836"/>
        <item m="1" x="1011"/>
        <item m="1" x="1186"/>
        <item m="1" x="1364"/>
        <item m="1" x="1542"/>
        <item m="1" x="1721"/>
        <item m="1" x="1899"/>
        <item m="1" x="2075"/>
        <item m="1" x="362"/>
        <item m="1" x="534"/>
        <item m="1" x="705"/>
        <item m="1" x="880"/>
        <item m="1" x="1055"/>
        <item m="1" x="1231"/>
        <item m="1" x="1409"/>
        <item m="1" x="1587"/>
        <item m="1" x="1765"/>
        <item m="1" x="1943"/>
        <item m="1" x="2117"/>
        <item m="1" x="405"/>
        <item m="1" x="576"/>
        <item m="1" x="748"/>
        <item m="1" x="925"/>
        <item m="1" x="1100"/>
        <item m="1" x="1276"/>
        <item m="1" x="1455"/>
        <item m="1" x="1633"/>
        <item m="1" x="1811"/>
        <item m="1" x="1988"/>
        <item m="1" x="2161"/>
        <item m="1" x="449"/>
        <item m="1" x="793"/>
        <item m="1" x="969"/>
        <item m="1" x="1143"/>
        <item m="1" x="1321"/>
        <item m="1" x="1500"/>
        <item m="1" x="1678"/>
        <item m="1" x="1856"/>
        <item m="1" x="2033"/>
        <item m="1" x="320"/>
        <item m="1" x="492"/>
        <item m="1" x="663"/>
        <item m="1" x="839"/>
        <item m="1" x="1014"/>
        <item m="1" x="1189"/>
        <item m="1" x="1367"/>
        <item m="1" x="1545"/>
        <item m="1" x="1724"/>
        <item m="1" x="1902"/>
        <item m="1" x="2078"/>
        <item m="1" x="365"/>
        <item m="1" x="537"/>
        <item m="1" x="707"/>
        <item m="1" x="883"/>
        <item m="1" x="1058"/>
        <item m="1" x="1234"/>
        <item m="1" x="1412"/>
        <item m="1" x="1590"/>
        <item m="1" x="1768"/>
        <item m="1" x="1946"/>
        <item m="1" x="2120"/>
        <item m="1" x="408"/>
        <item m="1" x="579"/>
        <item m="1" x="751"/>
        <item m="1" x="928"/>
        <item m="1" x="1103"/>
        <item m="1" x="1279"/>
        <item m="1" x="1458"/>
        <item m="1" x="1636"/>
        <item m="1" x="1814"/>
        <item m="1" x="1991"/>
        <item m="1" x="2164"/>
        <item m="1" x="452"/>
        <item m="1" x="623"/>
        <item m="1" x="796"/>
        <item m="1" x="972"/>
        <item m="1" x="1146"/>
        <item m="1" x="1324"/>
        <item m="1" x="1503"/>
        <item m="1" x="1681"/>
        <item m="1" x="1859"/>
        <item m="1" x="2036"/>
        <item m="1" x="323"/>
        <item m="1" x="495"/>
        <item m="1" x="666"/>
        <item m="1" x="842"/>
        <item m="1" x="1017"/>
        <item m="1" x="1192"/>
        <item m="1" x="1370"/>
        <item m="1" x="1548"/>
        <item m="1" x="1727"/>
        <item m="1" x="1905"/>
        <item m="1" x="2081"/>
        <item m="1" x="368"/>
        <item m="1" x="540"/>
        <item m="1" x="710"/>
        <item m="1" x="886"/>
        <item m="1" x="1061"/>
        <item m="1" x="1237"/>
        <item m="1" x="1415"/>
        <item m="1" x="1593"/>
        <item m="1" x="1771"/>
        <item m="1" x="1949"/>
        <item m="1" x="2123"/>
        <item m="1" x="411"/>
        <item m="1" x="582"/>
        <item m="1" x="754"/>
        <item m="1" x="931"/>
        <item m="1" x="1106"/>
        <item m="1" x="1282"/>
        <item m="1" x="1461"/>
        <item m="1" x="1639"/>
        <item m="1" x="1817"/>
        <item m="1" x="1994"/>
        <item m="1" x="2167"/>
        <item m="1" x="455"/>
        <item m="1" x="626"/>
        <item m="1" x="799"/>
        <item m="1" x="975"/>
        <item m="1" x="1149"/>
        <item m="1" x="1327"/>
        <item m="1" x="1506"/>
        <item m="1" x="1684"/>
        <item m="1" x="1862"/>
        <item m="1" x="2039"/>
        <item m="1" x="326"/>
        <item m="1" x="498"/>
        <item m="1" x="669"/>
        <item m="1" x="845"/>
        <item m="1" x="1020"/>
        <item m="1" x="1195"/>
        <item m="1" x="1373"/>
        <item m="1" x="1551"/>
        <item m="1" x="1730"/>
        <item m="1" x="2084"/>
        <item m="1" x="371"/>
        <item m="1" x="543"/>
        <item m="1" x="713"/>
        <item m="1" x="889"/>
        <item m="1" x="1064"/>
        <item m="1" x="1240"/>
        <item m="1" x="1418"/>
        <item m="1" x="1596"/>
        <item m="1" x="1774"/>
        <item m="1" x="1952"/>
        <item m="1" x="2126"/>
        <item m="1" x="414"/>
        <item m="1" x="585"/>
        <item m="1" x="757"/>
        <item m="1" x="934"/>
        <item m="1" x="1109"/>
        <item m="1" x="1285"/>
        <item m="1" x="1464"/>
        <item m="1" x="1642"/>
        <item m="1" x="1820"/>
        <item m="1" x="1997"/>
        <item m="1" x="2170"/>
        <item m="1" x="458"/>
        <item m="1" x="629"/>
        <item m="1" x="803"/>
        <item m="1" x="979"/>
        <item m="1" x="1153"/>
        <item m="1" x="1331"/>
        <item m="1" x="1510"/>
        <item m="1" x="1688"/>
        <item m="1" x="1866"/>
        <item m="1" x="2043"/>
        <item m="1" x="330"/>
        <item m="1" x="502"/>
        <item m="1" x="673"/>
        <item m="1" x="849"/>
        <item m="1" x="1024"/>
        <item m="1" x="1199"/>
        <item m="1" x="1377"/>
        <item m="1" x="1555"/>
        <item m="1" x="1734"/>
        <item m="1" x="1911"/>
        <item m="1" x="2088"/>
        <item m="1" x="375"/>
        <item m="1" x="547"/>
        <item m="1" x="717"/>
        <item m="1" x="893"/>
        <item m="1" x="1068"/>
        <item m="1" x="1244"/>
        <item m="1" x="1422"/>
        <item m="1" x="1600"/>
        <item m="1" x="1778"/>
        <item m="1" x="1956"/>
        <item m="1" x="2130"/>
        <item m="1" x="418"/>
        <item m="1" x="589"/>
        <item m="1" x="761"/>
        <item m="1" x="938"/>
        <item m="1" x="1113"/>
        <item m="1" x="1289"/>
        <item m="1" x="1468"/>
        <item m="1" x="1646"/>
        <item m="1" x="1824"/>
        <item m="1" x="2001"/>
        <item m="1" x="2174"/>
        <item m="1" x="462"/>
        <item m="1" x="633"/>
        <item m="1" x="807"/>
        <item m="1" x="896"/>
        <item m="1" x="983"/>
        <item m="1" x="1071"/>
        <item m="1" x="1157"/>
        <item m="1" x="1247"/>
        <item m="1" x="1335"/>
        <item m="1" x="1425"/>
        <item m="1" x="1514"/>
        <item m="1" x="1603"/>
        <item m="1" x="1692"/>
        <item m="1" x="1781"/>
        <item m="1" x="1870"/>
        <item m="1" x="1959"/>
        <item m="1" x="2047"/>
        <item m="1" x="2133"/>
        <item m="1" x="334"/>
        <item m="1" x="421"/>
        <item m="1" x="506"/>
        <item m="1" x="592"/>
        <item m="1" x="677"/>
        <item m="1" x="764"/>
        <item m="1" x="853"/>
        <item m="1" x="940"/>
        <item m="1" x="1028"/>
        <item m="1" x="1116"/>
        <item m="1" x="1203"/>
        <item m="1" x="1292"/>
        <item m="1" x="1381"/>
        <item m="1" x="1471"/>
        <item m="1" x="1559"/>
        <item m="1" x="1649"/>
        <item m="1" x="1738"/>
        <item m="1" x="1827"/>
        <item m="1" x="1915"/>
        <item m="1" x="2004"/>
        <item m="1" x="636"/>
        <item m="1" x="721"/>
        <item m="1" x="810"/>
        <item m="1" x="898"/>
        <item m="1" x="986"/>
        <item m="1" x="1073"/>
        <item m="1" x="1160"/>
        <item m="1" x="1249"/>
        <item m="1" x="1338"/>
        <item m="1" x="1427"/>
        <item m="1" x="1517"/>
        <item m="1" x="1605"/>
        <item m="1" x="1695"/>
        <item m="1" x="1783"/>
        <item m="1" x="1873"/>
        <item m="1" x="1961"/>
        <item m="1" x="2050"/>
        <item m="1" x="2135"/>
        <item m="1" x="337"/>
        <item m="1" x="423"/>
        <item m="1" x="509"/>
        <item m="1" x="594"/>
        <item m="1" x="680"/>
        <item m="1" x="766"/>
        <item m="1" x="856"/>
        <item m="1" x="942"/>
        <item m="1" x="1031"/>
        <item m="1" x="1118"/>
        <item m="1" x="1206"/>
        <item m="1" x="1294"/>
        <item m="1" x="1384"/>
        <item m="1" x="1473"/>
        <item m="1" x="1562"/>
        <item m="1" x="1651"/>
        <item m="1" x="1741"/>
        <item m="1" x="1829"/>
        <item m="1" x="1918"/>
        <item m="1" x="2006"/>
        <item m="1" x="2094"/>
        <item m="1" x="2178"/>
        <item m="1" x="381"/>
        <item m="1" x="466"/>
        <item m="1" x="553"/>
        <item m="1" x="638"/>
        <item m="1" x="724"/>
        <item m="1" x="812"/>
        <item m="1" x="900"/>
        <item m="1" x="988"/>
        <item m="1" x="1076"/>
        <item m="1" x="1162"/>
        <item m="1" x="1252"/>
        <item m="1" x="1340"/>
        <item m="1" x="1430"/>
        <item m="1" x="1519"/>
        <item m="1" x="1608"/>
        <item m="1" x="1697"/>
        <item m="1" x="1786"/>
        <item m="1" x="1875"/>
        <item m="1" x="1964"/>
        <item m="1" x="2052"/>
        <item m="1" x="2137"/>
        <item m="1" x="339"/>
        <item m="1" x="426"/>
        <item m="1" x="511"/>
        <item m="1" x="597"/>
        <item m="1" x="682"/>
        <item m="1" x="769"/>
        <item m="1" x="858"/>
        <item m="1" x="945"/>
        <item m="1" x="1033"/>
        <item m="1" x="1120"/>
        <item m="1" x="1208"/>
        <item m="1" x="1297"/>
        <item m="1" x="1386"/>
        <item m="1" x="1476"/>
        <item m="1" x="1564"/>
        <item m="1" x="1654"/>
        <item m="1" x="1743"/>
        <item m="1" x="1832"/>
        <item m="1" x="1920"/>
        <item m="1" x="2009"/>
        <item m="1" x="2096"/>
        <item m="1" x="2181"/>
        <item m="1" x="383"/>
        <item m="1" x="469"/>
        <item m="1" x="555"/>
        <item m="1" x="641"/>
        <item m="1" x="726"/>
        <item m="1" x="815"/>
        <item m="1" x="902"/>
        <item m="1" x="991"/>
        <item m="1" x="1078"/>
        <item m="1" x="1165"/>
        <item m="1" x="1254"/>
        <item m="1" x="1343"/>
        <item m="1" x="1432"/>
        <item m="1" x="1522"/>
        <item m="1" x="1610"/>
        <item m="1" x="1700"/>
        <item m="1" x="1788"/>
        <item m="1" x="1878"/>
        <item m="1" x="1966"/>
        <item m="1" x="2055"/>
        <item m="1" x="2139"/>
        <item m="1" x="342"/>
        <item m="1" x="428"/>
        <item m="1" x="514"/>
        <item m="1" x="599"/>
        <item m="1" x="685"/>
        <item m="1" x="771"/>
        <item m="1" x="861"/>
        <item m="1" x="947"/>
        <item m="1" x="1036"/>
        <item m="1" x="1122"/>
        <item m="1" x="1211"/>
        <item m="1" x="1299"/>
        <item m="1" x="1389"/>
        <item m="1" x="1478"/>
        <item m="1" x="1567"/>
        <item m="1" x="1656"/>
        <item m="1" x="1746"/>
        <item m="1" x="1834"/>
        <item m="1" x="1923"/>
        <item m="1" x="2011"/>
        <item m="1" x="2099"/>
        <item m="1" x="386"/>
        <item m="1" x="471"/>
        <item m="1" x="558"/>
        <item m="1" x="643"/>
        <item m="1" x="729"/>
        <item m="1" x="817"/>
        <item m="1" x="905"/>
        <item m="1" x="993"/>
        <item m="1" x="1081"/>
        <item m="1" x="1167"/>
        <item m="1" x="1257"/>
        <item m="1" x="1345"/>
        <item m="1" x="1435"/>
        <item m="1" x="1524"/>
        <item m="1" x="1613"/>
        <item m="1" x="1702"/>
        <item m="1" x="1791"/>
        <item m="1" x="1880"/>
        <item m="1" x="1968"/>
        <item m="1" x="2056"/>
        <item m="1" x="2141"/>
        <item m="1" x="343"/>
        <item m="1" x="429"/>
        <item m="1" x="515"/>
        <item m="1" x="601"/>
        <item m="1" x="686"/>
        <item m="1" x="773"/>
        <item m="1" x="862"/>
        <item m="1" x="949"/>
        <item m="1" x="1037"/>
        <item m="1" x="1124"/>
        <item m="1" x="1212"/>
        <item m="1" x="1301"/>
        <item m="1" x="1390"/>
        <item m="1" x="1480"/>
        <item m="1" x="1568"/>
        <item m="1" x="1658"/>
        <item m="1" x="1747"/>
        <item m="1" x="1836"/>
        <item m="1" x="1924"/>
        <item m="1" x="2013"/>
        <item m="1" x="2100"/>
        <item m="1" x="2184"/>
        <item m="1" x="387"/>
        <item m="1" x="473"/>
        <item m="1" x="559"/>
        <item m="1" x="645"/>
        <item m="1" x="730"/>
        <item m="1" x="819"/>
        <item m="1" x="906"/>
        <item m="1" x="995"/>
        <item m="1" x="1082"/>
        <item m="1" x="1169"/>
        <item m="1" x="1258"/>
        <item m="1" x="1347"/>
        <item m="1" x="1436"/>
        <item m="1" x="1526"/>
        <item m="1" x="1614"/>
        <item m="1" x="1704"/>
        <item m="1" x="1792"/>
        <item m="1" x="1882"/>
        <item m="1" x="1969"/>
        <item m="1" x="2058"/>
        <item m="1" x="2142"/>
        <item m="1" x="345"/>
        <item m="1" x="430"/>
        <item m="1" x="517"/>
        <item m="1" x="602"/>
        <item m="1" x="688"/>
        <item m="1" x="774"/>
        <item m="1" x="864"/>
        <item m="1" x="950"/>
        <item m="1" x="1039"/>
        <item m="1" x="1125"/>
        <item m="1" x="1214"/>
        <item m="1" x="1302"/>
        <item m="1" x="1392"/>
        <item m="1" x="1481"/>
        <item m="1" x="1570"/>
        <item m="1" x="1659"/>
        <item m="1" x="1749"/>
        <item m="1" x="1837"/>
        <item m="1" x="1926"/>
        <item m="1" x="2014"/>
        <item m="1" x="2102"/>
        <item m="1" x="2185"/>
        <item m="1" x="389"/>
        <item m="1" x="474"/>
        <item m="1" x="561"/>
        <item m="1" x="646"/>
        <item m="1" x="731"/>
        <item m="1" x="820"/>
        <item m="1" x="908"/>
        <item m="1" x="996"/>
        <item m="1" x="1084"/>
        <item m="1" x="1170"/>
        <item m="1" x="1259"/>
        <item m="1" x="1348"/>
        <item m="1" x="1438"/>
        <item m="1" x="1527"/>
        <item m="1" x="1616"/>
        <item m="1" x="1705"/>
        <item m="1" x="1794"/>
        <item m="1" x="1883"/>
        <item m="1" x="1971"/>
        <item m="1" x="2059"/>
        <item m="1" x="2144"/>
        <item m="1" x="346"/>
        <item m="1" x="432"/>
        <item m="1" x="518"/>
        <item m="1" x="604"/>
        <item m="1" x="689"/>
        <item m="1" x="776"/>
        <item m="1" x="865"/>
        <item m="1" x="952"/>
        <item m="1" x="1040"/>
        <item m="1" x="1126"/>
        <item m="1" x="1215"/>
        <item m="1" x="1304"/>
        <item m="1" x="1393"/>
        <item m="1" x="1483"/>
        <item m="1" x="1571"/>
        <item m="1" x="1661"/>
        <item m="1" x="1750"/>
        <item m="1" x="1839"/>
        <item m="1" x="1927"/>
        <item m="1" x="2016"/>
        <item m="1" x="2103"/>
        <item m="1" x="2187"/>
        <item m="1" x="390"/>
        <item m="1" x="476"/>
        <item m="1" x="562"/>
        <item m="1" x="648"/>
        <item m="1" x="732"/>
        <item m="1" x="822"/>
        <item m="1" x="909"/>
        <item m="1" x="997"/>
        <item m="1" x="1085"/>
        <item m="1" x="1172"/>
        <item m="1" x="1260"/>
        <item m="1" x="1350"/>
        <item m="1" x="1439"/>
        <item m="1" x="1529"/>
        <item m="1" x="1617"/>
        <item m="1" x="1707"/>
        <item m="1" x="1795"/>
        <item m="1" x="1885"/>
        <item m="1" x="1972"/>
        <item m="1" x="2061"/>
        <item m="1" x="2145"/>
        <item m="1" x="348"/>
        <item m="1" x="433"/>
        <item m="1" x="520"/>
        <item m="1" x="605"/>
        <item m="1" x="691"/>
        <item m="1" x="777"/>
        <item m="1" x="867"/>
        <item m="1" x="953"/>
        <item m="1" x="1042"/>
        <item m="1" x="1127"/>
        <item m="1" x="1217"/>
        <item m="1" x="1305"/>
        <item m="1" x="1395"/>
        <item m="1" x="1484"/>
        <item m="1" x="1573"/>
        <item m="1" x="1662"/>
        <item m="1" x="1752"/>
        <item m="1" x="1840"/>
        <item m="1" x="1929"/>
        <item m="1" x="2017"/>
        <item m="1" x="2105"/>
        <item m="1" x="2188"/>
        <item m="1" x="392"/>
        <item m="1" x="477"/>
        <item m="1" x="564"/>
        <item m="1" x="649"/>
        <item m="1" x="734"/>
        <item m="1" x="823"/>
        <item m="1" x="911"/>
        <item m="1" x="998"/>
        <item m="1" x="1087"/>
        <item m="1" x="1173"/>
        <item m="1" x="1262"/>
        <item m="1" x="1351"/>
        <item m="1" x="1441"/>
        <item m="1" x="1530"/>
        <item m="1" x="1619"/>
        <item m="1" x="1708"/>
        <item m="1" x="1797"/>
        <item m="1" x="1886"/>
        <item m="1" x="1974"/>
        <item m="1" x="2062"/>
        <item m="1" x="2147"/>
        <item m="1" x="349"/>
        <item m="1" x="435"/>
        <item m="1" x="521"/>
        <item m="1" x="607"/>
        <item m="1" x="692"/>
        <item m="1" x="779"/>
        <item m="1" x="868"/>
        <item m="1" x="955"/>
        <item m="1" x="1043"/>
        <item m="1" x="1129"/>
        <item m="1" x="1218"/>
        <item m="1" x="1307"/>
        <item m="1" x="1396"/>
        <item m="1" x="1486"/>
        <item m="1" x="1574"/>
        <item m="1" x="1664"/>
        <item m="1" x="1753"/>
        <item m="1" x="1842"/>
        <item m="1" x="1930"/>
        <item m="1" x="2019"/>
        <item m="1" x="2106"/>
        <item m="1" x="2190"/>
        <item m="1" x="393"/>
        <item m="1" x="479"/>
        <item m="1" x="565"/>
        <item m="1" x="651"/>
        <item m="1" x="735"/>
        <item m="1" x="825"/>
        <item m="1" x="912"/>
        <item m="1" x="1000"/>
        <item m="1" x="1088"/>
        <item m="1" x="1175"/>
        <item m="1" x="1263"/>
        <item m="1" x="1353"/>
        <item m="1" x="1442"/>
        <item m="1" x="1532"/>
        <item m="1" x="1620"/>
        <item m="1" x="1710"/>
        <item m="1" x="1798"/>
        <item m="1" x="1888"/>
        <item m="1" x="1975"/>
        <item m="1" x="2064"/>
        <item m="1" x="2148"/>
        <item m="1" x="351"/>
        <item m="1" x="436"/>
        <item m="1" x="523"/>
        <item m="1" x="608"/>
        <item m="1" x="694"/>
        <item m="1" x="780"/>
        <item m="1" x="869"/>
        <item m="1" x="956"/>
        <item m="1" x="1044"/>
        <item m="1" x="1130"/>
        <item m="1" x="1220"/>
        <item m="1" x="1308"/>
        <item m="1" x="1398"/>
        <item m="1" x="1487"/>
        <item m="1" x="1576"/>
        <item m="1" x="1665"/>
        <item m="1" x="1755"/>
        <item m="1" x="1843"/>
        <item m="1" x="1932"/>
        <item m="1" x="2020"/>
        <item m="1" x="2108"/>
        <item m="1" x="2191"/>
        <item m="1" x="395"/>
        <item m="1" x="480"/>
        <item m="1" x="567"/>
        <item m="1" x="652"/>
        <item m="1" x="737"/>
        <item m="1" x="826"/>
        <item m="1" x="914"/>
        <item m="1" x="1001"/>
        <item m="1" x="1089"/>
        <item m="1" x="1176"/>
        <item m="1" x="1265"/>
        <item m="1" x="1354"/>
        <item m="1" x="1444"/>
        <item m="1" x="1533"/>
        <item m="1" x="1622"/>
        <item m="1" x="1711"/>
        <item m="1" x="1800"/>
        <item m="1" x="1889"/>
        <item m="1" x="1977"/>
        <item m="1" x="2065"/>
        <item m="1" x="2150"/>
        <item m="1" x="352"/>
        <item m="1" x="438"/>
        <item m="1" x="524"/>
        <item m="1" x="610"/>
        <item m="1" x="695"/>
        <item m="1" x="782"/>
        <item m="1" x="870"/>
        <item m="1" x="958"/>
        <item m="1" x="1045"/>
        <item m="1" x="1132"/>
        <item m="1" x="1221"/>
        <item m="1" x="1310"/>
        <item m="1" x="1399"/>
        <item m="1" x="1489"/>
        <item m="1" x="1577"/>
        <item m="1" x="1667"/>
        <item m="1" x="1756"/>
        <item m="1" x="1845"/>
        <item m="1" x="1933"/>
        <item m="1" x="2022"/>
        <item m="1" x="2109"/>
        <item m="1" x="309"/>
        <item m="1" x="396"/>
        <item m="1" x="482"/>
        <item m="1" x="568"/>
        <item m="1" x="653"/>
        <item m="1" x="738"/>
        <item m="1" x="828"/>
        <item m="1" x="915"/>
        <item m="1" x="1003"/>
        <item m="1" x="1090"/>
        <item m="1" x="1178"/>
        <item m="1" x="1266"/>
        <item m="1" x="1356"/>
        <item m="1" x="1445"/>
        <item m="1" x="1534"/>
        <item m="1" x="1623"/>
        <item m="1" x="1713"/>
        <item m="1" x="1801"/>
        <item m="1" x="1891"/>
        <item m="1" x="1978"/>
        <item m="1" x="2067"/>
        <item m="1" x="2151"/>
        <item m="1" x="354"/>
        <item m="1" x="439"/>
        <item m="1" x="526"/>
        <item m="1" x="611"/>
        <item m="1" x="697"/>
        <item m="1" x="783"/>
        <item m="1" x="872"/>
        <item m="1" x="959"/>
        <item m="1" x="1047"/>
        <item m="1" x="1133"/>
        <item m="1" x="1223"/>
        <item m="1" x="1311"/>
        <item m="1" x="1401"/>
        <item m="1" x="1490"/>
        <item m="1" x="1579"/>
        <item m="1" x="1668"/>
        <item m="1" x="1758"/>
        <item m="1" x="1846"/>
        <item m="1" x="1935"/>
        <item m="1" x="2023"/>
        <item m="1" x="2110"/>
        <item m="1" x="310"/>
        <item m="1" x="398"/>
        <item m="1" x="483"/>
        <item m="1" x="569"/>
        <item m="1" x="654"/>
        <item m="1" x="740"/>
        <item m="1" x="829"/>
        <item m="1" x="917"/>
        <item m="1" x="1004"/>
        <item m="1" x="1092"/>
        <item m="1" x="1179"/>
        <item m="1" x="1268"/>
        <item m="1" x="1357"/>
        <item m="1" x="1447"/>
        <item m="1" x="1535"/>
        <item m="1" x="1625"/>
        <item m="1" x="1714"/>
        <item m="1" x="1803"/>
        <item m="1" x="1892"/>
        <item m="1" x="1980"/>
        <item m="1" x="2068"/>
        <item m="1" x="2153"/>
        <item m="1" x="355"/>
        <item m="1" x="441"/>
        <item m="1" x="527"/>
        <item m="1" x="613"/>
        <item m="1" x="698"/>
        <item m="1" x="785"/>
        <item m="1" x="873"/>
        <item m="1" x="961"/>
        <item m="1" x="1048"/>
        <item m="1" x="1135"/>
        <item m="1" x="1224"/>
        <item m="1" x="1313"/>
        <item m="1" x="1402"/>
        <item m="1" x="1492"/>
        <item m="1" x="1580"/>
        <item m="1" x="1670"/>
        <item m="1" x="1759"/>
        <item m="1" x="1848"/>
        <item m="1" x="1936"/>
        <item m="1" x="2025"/>
        <item m="1" x="2111"/>
        <item m="1" x="312"/>
        <item m="1" x="399"/>
        <item m="1" x="485"/>
        <item m="1" x="570"/>
        <item m="1" x="656"/>
        <item m="1" x="741"/>
        <item m="1" x="831"/>
        <item m="1" x="918"/>
        <item m="1" x="1006"/>
        <item m="1" x="1093"/>
        <item m="1" x="1181"/>
        <item m="1" x="1269"/>
        <item m="1" x="1359"/>
        <item m="1" x="1448"/>
        <item m="1" x="1537"/>
        <item m="1" x="1626"/>
        <item m="1" x="1716"/>
        <item m="1" x="1804"/>
        <item m="1" x="1894"/>
        <item m="1" x="1981"/>
        <item m="1" x="2070"/>
        <item m="1" x="2154"/>
        <item m="1" x="357"/>
        <item m="1" x="442"/>
        <item m="1" x="529"/>
        <item m="1" x="614"/>
        <item m="1" x="700"/>
        <item m="1" x="786"/>
        <item m="1" x="875"/>
        <item m="1" x="962"/>
        <item m="1" x="1050"/>
        <item m="1" x="1136"/>
        <item m="1" x="1226"/>
        <item m="1" x="1314"/>
        <item m="1" x="1404"/>
        <item m="1" x="1493"/>
        <item m="1" x="1582"/>
        <item m="1" x="1671"/>
        <item m="1" x="1761"/>
        <item m="1" x="1849"/>
        <item m="1" x="1938"/>
        <item m="1" x="2026"/>
        <item m="1" x="2113"/>
        <item m="1" x="313"/>
        <item m="1" x="401"/>
        <item m="1" x="486"/>
        <item m="1" x="572"/>
        <item m="1" x="657"/>
        <item m="1" x="743"/>
        <item m="1" x="832"/>
        <item m="1" x="920"/>
        <item m="1" x="1007"/>
        <item m="1" x="1095"/>
        <item m="1" x="1182"/>
        <item m="1" x="1271"/>
        <item m="1" x="1360"/>
        <item m="1" x="1450"/>
        <item m="1" x="1538"/>
        <item m="1" x="1628"/>
        <item m="1" x="1717"/>
        <item m="1" x="1806"/>
        <item m="1" x="1895"/>
        <item m="1" x="1983"/>
        <item m="1" x="2071"/>
        <item m="1" x="2156"/>
        <item m="1" x="358"/>
        <item m="1" x="444"/>
        <item m="1" x="530"/>
        <item m="1" x="616"/>
        <item m="1" x="701"/>
        <item m="1" x="788"/>
        <item m="1" x="876"/>
        <item m="1" x="964"/>
        <item m="1" x="1051"/>
        <item m="1" x="1138"/>
        <item m="1" x="1227"/>
        <item m="1" x="1316"/>
        <item m="1" x="1405"/>
        <item m="1" x="1495"/>
        <item m="1" x="1583"/>
        <item m="1" x="1673"/>
        <item m="1" x="1762"/>
        <item m="1" x="1851"/>
        <item m="1" x="1939"/>
        <item m="1" x="2028"/>
        <item m="1" x="2114"/>
        <item m="1" x="315"/>
        <item m="1" x="402"/>
        <item m="1" x="487"/>
        <item m="1" x="573"/>
        <item m="1" x="659"/>
        <item m="1" x="744"/>
        <item m="1" x="834"/>
        <item m="1" x="921"/>
        <item m="1" x="1009"/>
        <item m="1" x="1096"/>
        <item m="1" x="1184"/>
        <item m="1" x="1272"/>
        <item m="1" x="1362"/>
        <item m="1" x="1451"/>
        <item m="1" x="1540"/>
        <item m="1" x="1629"/>
        <item m="1" x="1719"/>
        <item m="1" x="1807"/>
        <item m="1" x="1897"/>
        <item m="1" x="1984"/>
        <item m="1" x="2073"/>
        <item m="1" x="2157"/>
        <item m="1" x="360"/>
        <item m="1" x="445"/>
        <item m="1" x="532"/>
        <item m="1" x="617"/>
        <item m="1" x="703"/>
        <item m="1" x="789"/>
        <item m="1" x="878"/>
        <item m="1" x="965"/>
        <item m="1" x="1053"/>
        <item m="1" x="1139"/>
        <item m="1" x="1229"/>
        <item m="1" x="1317"/>
        <item m="1" x="1407"/>
        <item m="1" x="1496"/>
        <item m="1" x="1585"/>
        <item m="1" x="1674"/>
        <item m="1" x="1763"/>
        <item m="1" x="1852"/>
        <item m="1" x="1941"/>
        <item m="1" x="2029"/>
        <item m="1" x="2115"/>
        <item m="1" x="316"/>
        <item m="1" x="403"/>
        <item m="1" x="488"/>
        <item m="1" x="574"/>
        <item m="1" x="660"/>
        <item m="1" x="746"/>
        <item m="1" x="835"/>
        <item m="1" x="923"/>
        <item m="1" x="1010"/>
        <item m="1" x="1098"/>
        <item m="1" x="1185"/>
        <item m="1" x="1274"/>
        <item m="1" x="1363"/>
        <item m="1" x="1453"/>
        <item m="1" x="1541"/>
        <item m="1" x="1631"/>
        <item m="1" x="1720"/>
        <item m="1" x="1809"/>
        <item m="1" x="1898"/>
        <item m="1" x="1986"/>
        <item m="1" x="2074"/>
        <item m="1" x="2159"/>
        <item m="1" x="361"/>
        <item m="1" x="447"/>
        <item m="1" x="533"/>
        <item m="1" x="619"/>
        <item m="1" x="704"/>
        <item m="1" x="791"/>
        <item m="1" x="879"/>
        <item m="1" x="967"/>
        <item m="1" x="1054"/>
        <item m="1" x="1141"/>
        <item m="1" x="1230"/>
        <item m="1" x="1319"/>
        <item m="1" x="1408"/>
        <item m="1" x="1498"/>
        <item m="1" x="1586"/>
        <item m="1" x="1676"/>
        <item m="1" x="1764"/>
        <item m="1" x="1854"/>
        <item m="1" x="1942"/>
        <item m="1" x="2031"/>
        <item m="1" x="2116"/>
        <item m="1" x="318"/>
        <item m="1" x="404"/>
        <item m="1" x="490"/>
        <item m="1" x="575"/>
        <item m="1" x="661"/>
        <item m="1" x="747"/>
        <item m="1" x="837"/>
        <item m="1" x="924"/>
        <item m="1" x="1012"/>
        <item m="1" x="1099"/>
        <item m="1" x="1187"/>
        <item m="1" x="1275"/>
        <item m="1" x="1365"/>
        <item m="1" x="1454"/>
        <item m="1" x="1543"/>
        <item m="1" x="1632"/>
        <item m="1" x="1722"/>
        <item m="1" x="1810"/>
        <item m="1" x="1900"/>
        <item m="1" x="1987"/>
        <item m="1" x="2076"/>
        <item m="1" x="2160"/>
        <item m="1" x="363"/>
        <item m="1" x="448"/>
        <item m="1" x="535"/>
        <item m="1" x="620"/>
        <item m="1" x="706"/>
        <item m="1" x="792"/>
        <item m="1" x="881"/>
        <item m="1" x="968"/>
        <item m="1" x="1056"/>
        <item m="1" x="1142"/>
        <item m="1" x="1232"/>
        <item m="1" x="1320"/>
        <item m="1" x="1410"/>
        <item m="1" x="1499"/>
        <item m="1" x="1588"/>
        <item m="1" x="1677"/>
        <item m="1" x="1766"/>
        <item m="1" x="1855"/>
        <item m="1" x="1944"/>
        <item m="1" x="2032"/>
        <item m="1" x="2118"/>
        <item m="1" x="319"/>
        <item m="1" x="406"/>
        <item m="1" x="491"/>
        <item m="1" x="577"/>
        <item m="1" x="662"/>
        <item m="1" x="749"/>
        <item m="1" x="838"/>
        <item m="1" x="926"/>
        <item m="1" x="1013"/>
        <item m="1" x="1101"/>
        <item m="1" x="1188"/>
        <item m="1" x="1277"/>
        <item m="1" x="1366"/>
        <item m="1" x="1456"/>
        <item m="1" x="1544"/>
        <item m="1" x="1634"/>
        <item m="1" x="1723"/>
        <item m="1" x="1812"/>
        <item m="1" x="1901"/>
        <item m="1" x="1989"/>
        <item m="1" x="2077"/>
        <item m="1" x="2162"/>
        <item m="1" x="364"/>
        <item m="1" x="450"/>
        <item m="1" x="536"/>
        <item m="1" x="621"/>
        <item m="1" x="794"/>
        <item m="1" x="882"/>
        <item m="1" x="970"/>
        <item m="1" x="1057"/>
        <item m="1" x="1144"/>
        <item m="1" x="1233"/>
        <item m="1" x="1322"/>
        <item m="1" x="1411"/>
        <item m="1" x="1501"/>
        <item m="1" x="1589"/>
        <item m="1" x="1679"/>
        <item m="1" x="1767"/>
        <item m="1" x="1857"/>
        <item m="1" x="1945"/>
        <item m="1" x="2034"/>
        <item m="1" x="2119"/>
        <item m="1" x="321"/>
        <item m="1" x="407"/>
        <item m="1" x="493"/>
        <item m="1" x="578"/>
        <item m="1" x="664"/>
        <item m="1" x="750"/>
        <item m="1" x="840"/>
        <item m="1" x="927"/>
        <item m="1" x="1015"/>
        <item m="1" x="1102"/>
        <item m="1" x="1190"/>
        <item m="1" x="1278"/>
        <item m="1" x="1368"/>
        <item m="1" x="1457"/>
        <item m="1" x="1546"/>
        <item m="1" x="1635"/>
        <item m="1" x="1725"/>
        <item m="1" x="1813"/>
        <item m="1" x="1903"/>
        <item m="1" x="1990"/>
        <item m="1" x="2079"/>
        <item m="1" x="2163"/>
        <item m="1" x="366"/>
        <item m="1" x="451"/>
        <item m="1" x="538"/>
        <item m="1" x="622"/>
        <item m="1" x="708"/>
        <item m="1" x="795"/>
        <item m="1" x="884"/>
        <item m="1" x="971"/>
        <item m="1" x="1059"/>
        <item m="1" x="1145"/>
        <item m="1" x="1235"/>
        <item m="1" x="1323"/>
        <item m="1" x="1413"/>
        <item m="1" x="1502"/>
        <item m="1" x="1591"/>
        <item m="1" x="1680"/>
        <item m="1" x="1769"/>
        <item m="1" x="1858"/>
        <item m="1" x="1947"/>
        <item m="1" x="2035"/>
        <item m="1" x="2121"/>
        <item m="1" x="322"/>
        <item m="1" x="409"/>
        <item m="1" x="494"/>
        <item m="1" x="580"/>
        <item m="1" x="665"/>
        <item m="1" x="752"/>
        <item m="1" x="841"/>
        <item m="1" x="929"/>
        <item m="1" x="1016"/>
        <item m="1" x="1104"/>
        <item m="1" x="1191"/>
        <item m="1" x="1280"/>
        <item m="1" x="1369"/>
        <item m="1" x="1459"/>
        <item m="1" x="1547"/>
        <item m="1" x="1637"/>
        <item m="1" x="1726"/>
        <item m="1" x="1815"/>
        <item m="1" x="1904"/>
        <item m="1" x="1992"/>
        <item m="1" x="2080"/>
        <item m="1" x="2165"/>
        <item m="1" x="367"/>
        <item m="1" x="453"/>
        <item m="1" x="539"/>
        <item m="1" x="624"/>
        <item m="1" x="709"/>
        <item m="1" x="797"/>
        <item m="1" x="885"/>
        <item m="1" x="973"/>
        <item m="1" x="1060"/>
        <item m="1" x="1147"/>
        <item m="1" x="1236"/>
        <item m="1" x="1325"/>
        <item m="1" x="1414"/>
        <item m="1" x="1504"/>
        <item m="1" x="1592"/>
        <item m="1" x="1682"/>
        <item m="1" x="1770"/>
        <item m="1" x="1860"/>
        <item m="1" x="1948"/>
        <item m="1" x="2037"/>
        <item m="1" x="2122"/>
        <item m="1" x="324"/>
        <item m="1" x="410"/>
        <item m="1" x="496"/>
        <item m="1" x="581"/>
        <item m="1" x="667"/>
        <item m="1" x="753"/>
        <item m="1" x="843"/>
        <item m="1" x="930"/>
        <item m="1" x="1018"/>
        <item m="1" x="1105"/>
        <item m="1" x="1193"/>
        <item m="1" x="1281"/>
        <item m="1" x="1371"/>
        <item m="1" x="1460"/>
        <item m="1" x="1549"/>
        <item m="1" x="1638"/>
        <item m="1" x="1728"/>
        <item m="1" x="1816"/>
        <item m="1" x="1906"/>
        <item m="1" x="1993"/>
        <item m="1" x="2082"/>
        <item m="1" x="2166"/>
        <item m="1" x="369"/>
        <item m="1" x="454"/>
        <item m="1" x="541"/>
        <item m="1" x="625"/>
        <item m="1" x="711"/>
        <item m="1" x="798"/>
        <item m="1" x="887"/>
        <item m="1" x="974"/>
        <item m="1" x="1062"/>
        <item m="1" x="1148"/>
        <item m="1" x="1238"/>
        <item m="1" x="1326"/>
        <item m="1" x="1416"/>
        <item m="1" x="1505"/>
        <item m="1" x="1594"/>
        <item m="1" x="1683"/>
        <item m="1" x="1772"/>
        <item m="1" x="1861"/>
        <item m="1" x="1950"/>
        <item m="1" x="2038"/>
        <item m="1" x="2124"/>
        <item m="1" x="325"/>
        <item m="1" x="412"/>
        <item m="1" x="497"/>
        <item m="1" x="583"/>
        <item m="1" x="668"/>
        <item m="1" x="755"/>
        <item m="1" x="844"/>
        <item m="1" x="932"/>
        <item m="1" x="1019"/>
        <item m="1" x="1107"/>
        <item m="1" x="1194"/>
        <item m="1" x="1283"/>
        <item m="1" x="1372"/>
        <item m="1" x="1462"/>
        <item m="1" x="1550"/>
        <item m="1" x="1640"/>
        <item m="1" x="1729"/>
        <item m="1" x="1818"/>
        <item m="1" x="1907"/>
        <item m="1" x="1995"/>
        <item m="1" x="2083"/>
        <item m="1" x="2168"/>
        <item m="1" x="370"/>
        <item m="1" x="456"/>
        <item m="1" x="542"/>
        <item m="1" x="627"/>
        <item m="1" x="712"/>
        <item m="1" x="801"/>
        <item m="1" x="888"/>
        <item m="1" x="977"/>
        <item m="1" x="1063"/>
        <item m="1" x="1151"/>
        <item m="1" x="1239"/>
        <item m="1" x="1329"/>
        <item m="1" x="1417"/>
        <item m="1" x="1508"/>
        <item m="1" x="1595"/>
        <item m="1" x="1686"/>
        <item m="1" x="1773"/>
        <item m="1" x="1864"/>
        <item m="1" x="1951"/>
        <item m="1" x="2041"/>
        <item m="1" x="2125"/>
        <item m="1" x="328"/>
        <item m="1" x="413"/>
        <item m="1" x="500"/>
        <item m="1" x="584"/>
        <item m="1" x="671"/>
        <item m="1" x="756"/>
        <item m="1" x="847"/>
        <item m="1" x="933"/>
        <item m="1" x="1022"/>
        <item m="1" x="1108"/>
        <item m="1" x="1197"/>
        <item m="1" x="1284"/>
        <item m="1" x="1375"/>
        <item m="1" x="1463"/>
        <item m="1" x="1553"/>
        <item m="1" x="1641"/>
        <item m="1" x="1732"/>
        <item m="1" x="1819"/>
        <item m="1" x="1909"/>
        <item m="1" x="1996"/>
        <item m="1" x="2086"/>
        <item m="1" x="2169"/>
        <item m="1" x="373"/>
        <item m="1" x="457"/>
        <item m="1" x="545"/>
        <item m="1" x="628"/>
        <item m="1" x="715"/>
        <item m="1" x="802"/>
        <item m="1" x="891"/>
        <item m="1" x="978"/>
        <item m="1" x="1066"/>
        <item m="1" x="1152"/>
        <item m="1" x="1242"/>
        <item m="1" x="1330"/>
        <item m="1" x="1420"/>
        <item m="1" x="1509"/>
        <item m="1" x="1598"/>
        <item m="1" x="1687"/>
        <item m="1" x="1776"/>
        <item m="1" x="1865"/>
        <item m="1" x="1954"/>
        <item m="1" x="2042"/>
        <item m="1" x="2128"/>
        <item m="1" x="329"/>
        <item m="1" x="416"/>
        <item m="1" x="501"/>
        <item m="1" x="587"/>
        <item m="1" x="672"/>
        <item m="1" x="759"/>
        <item m="1" x="848"/>
        <item m="1" x="936"/>
        <item m="1" x="1023"/>
        <item m="1" x="1111"/>
        <item m="1" x="1198"/>
        <item m="1" x="1287"/>
        <item m="1" x="1376"/>
        <item m="1" x="1466"/>
        <item m="1" x="1554"/>
        <item m="1" x="1644"/>
        <item m="1" x="1733"/>
        <item m="1" x="1822"/>
        <item m="1" x="1910"/>
        <item m="1" x="1999"/>
        <item m="1" x="2087"/>
        <item m="1" x="2172"/>
        <item m="1" x="374"/>
        <item m="1" x="460"/>
        <item m="1" x="546"/>
        <item m="1" x="631"/>
        <item m="1" x="716"/>
        <item m="1" x="805"/>
        <item m="1" x="892"/>
        <item m="1" x="981"/>
        <item m="1" x="1067"/>
        <item m="1" x="1155"/>
        <item m="1" x="1243"/>
        <item m="1" x="1333"/>
        <item m="1" x="1421"/>
        <item m="1" x="1512"/>
        <item m="1" x="1599"/>
        <item m="1" x="1690"/>
        <item m="1" x="1777"/>
        <item m="1" x="1868"/>
        <item m="1" x="1955"/>
        <item m="1" x="2045"/>
        <item m="1" x="2129"/>
        <item m="1" x="332"/>
        <item m="1" x="417"/>
        <item m="1" x="504"/>
        <item m="1" x="588"/>
        <item m="1" x="675"/>
        <item m="1" x="760"/>
        <item m="1" x="851"/>
        <item m="1" x="937"/>
        <item m="1" x="1026"/>
        <item m="1" x="1112"/>
        <item m="1" x="1201"/>
        <item m="1" x="1288"/>
        <item m="1" x="1379"/>
        <item m="1" x="1467"/>
        <item m="1" x="1557"/>
        <item m="1" x="1645"/>
        <item m="1" x="1736"/>
        <item m="1" x="1823"/>
        <item m="1" x="1913"/>
        <item m="1" x="2000"/>
        <item m="1" x="2090"/>
        <item m="1" x="2173"/>
        <item m="1" x="377"/>
        <item m="1" x="461"/>
        <item m="1" x="549"/>
        <item m="1" x="632"/>
        <item m="1" x="719"/>
        <item m="1" x="806"/>
        <item m="1" x="895"/>
        <item m="1" x="982"/>
        <item m="1" x="1070"/>
        <item m="1" x="1156"/>
        <item m="1" x="1246"/>
        <item m="1" x="1334"/>
        <item m="1" x="1424"/>
        <item m="1" x="1513"/>
        <item m="1" x="1602"/>
        <item m="1" x="1691"/>
        <item m="1" x="1780"/>
        <item m="1" x="1869"/>
        <item m="1" x="1958"/>
        <item m="1" x="2046"/>
        <item m="1" x="2132"/>
        <item m="1" x="333"/>
        <item m="1" x="420"/>
        <item m="1" x="505"/>
        <item m="1" x="591"/>
        <item m="1" x="676"/>
        <item m="1" x="763"/>
        <item m="1" x="852"/>
        <item m="1" x="939"/>
        <item m="1" x="1027"/>
        <item m="1" x="1115"/>
        <item m="1" x="1202"/>
        <item m="1" x="1291"/>
        <item m="1" x="1380"/>
        <item m="1" x="1470"/>
        <item m="1" x="1558"/>
        <item m="1" x="1648"/>
        <item m="1" x="1737"/>
        <item m="1" x="1826"/>
        <item m="1" x="1914"/>
        <item m="1" x="2003"/>
        <item m="1" x="2091"/>
        <item m="1" x="2176"/>
        <item m="1" x="378"/>
        <item m="1" x="464"/>
        <item m="1" x="550"/>
        <item m="1" x="635"/>
        <item m="1" x="720"/>
        <item m="1" x="809"/>
        <item m="1" x="897"/>
        <item m="1" x="985"/>
        <item m="1" x="1072"/>
        <item m="1" x="1159"/>
        <item m="1" x="1248"/>
        <item m="1" x="1337"/>
        <item m="1" x="1426"/>
        <item m="1" x="1516"/>
        <item m="1" x="1604"/>
        <item m="1" x="1694"/>
        <item m="1" x="1782"/>
        <item m="1" x="1872"/>
        <item m="1" x="1960"/>
        <item m="1" x="2049"/>
        <item m="1" x="2134"/>
        <item m="1" x="336"/>
        <item m="1" x="422"/>
        <item m="1" x="508"/>
        <item m="1" x="593"/>
        <item m="1" x="679"/>
        <item m="1" x="765"/>
        <item m="1" x="855"/>
        <item m="1" x="941"/>
        <item m="1" x="1030"/>
        <item m="1" x="1117"/>
        <item m="1" x="1205"/>
        <item m="1" x="1293"/>
        <item m="1" x="1383"/>
        <item m="1" x="1472"/>
        <item m="1" x="1561"/>
        <item m="1" x="1650"/>
        <item m="1" x="1740"/>
        <item m="1" x="1828"/>
        <item m="1" x="1917"/>
        <item m="1" x="2005"/>
        <item m="1" x="2093"/>
        <item m="1" x="2177"/>
        <item m="1" x="380"/>
        <item m="1" x="465"/>
        <item m="1" x="552"/>
        <item m="1" x="637"/>
        <item m="1" x="723"/>
        <item m="1" x="811"/>
        <item m="1" x="899"/>
        <item m="1" x="987"/>
        <item m="1" x="1075"/>
        <item m="1" x="1161"/>
        <item m="1" x="1251"/>
        <item m="1" x="1339"/>
        <item m="1" x="1429"/>
        <item m="1" x="1518"/>
        <item m="1" x="1607"/>
        <item m="1" x="1696"/>
        <item m="1" x="1785"/>
        <item m="1" x="1874"/>
        <item m="1" x="1963"/>
        <item m="1" x="2051"/>
        <item m="1" x="2136"/>
        <item m="1" x="338"/>
        <item m="1" x="425"/>
        <item m="1" x="510"/>
        <item m="1" x="596"/>
        <item m="1" x="681"/>
        <item m="1" x="768"/>
        <item m="1" x="857"/>
        <item m="1" x="944"/>
        <item m="1" x="1032"/>
        <item m="1" x="1119"/>
        <item m="1" x="1207"/>
        <item m="1" x="1296"/>
        <item m="1" x="1385"/>
        <item m="1" x="1475"/>
        <item m="1" x="1563"/>
        <item m="1" x="1653"/>
        <item m="1" x="1742"/>
        <item m="1" x="1831"/>
        <item m="1" x="1919"/>
        <item m="1" x="2008"/>
        <item m="1" x="2095"/>
        <item m="1" x="2180"/>
        <item m="1" x="382"/>
        <item m="1" x="468"/>
        <item m="1" x="554"/>
        <item m="1" x="640"/>
        <item m="1" x="725"/>
        <item m="1" x="814"/>
        <item m="1" x="901"/>
        <item m="1" x="990"/>
        <item m="1" x="1077"/>
        <item m="1" x="1164"/>
        <item m="1" x="1253"/>
        <item m="1" x="1342"/>
        <item m="1" x="1431"/>
        <item m="1" x="1521"/>
        <item m="1" x="1609"/>
        <item m="1" x="1699"/>
        <item m="1" x="1787"/>
        <item m="1" x="1877"/>
        <item m="1" x="1965"/>
        <item m="1" x="2054"/>
        <item m="1" x="2138"/>
        <item m="1" x="341"/>
        <item m="1" x="427"/>
        <item m="1" x="513"/>
        <item m="1" x="598"/>
        <item m="1" x="684"/>
        <item m="1" x="770"/>
        <item m="1" x="860"/>
        <item m="1" x="946"/>
        <item m="1" x="1035"/>
        <item m="1" x="1121"/>
        <item m="1" x="1210"/>
        <item m="1" x="1298"/>
        <item m="1" x="1388"/>
        <item m="1" x="1477"/>
        <item m="1" x="1566"/>
        <item m="1" x="1655"/>
        <item m="1" x="1745"/>
        <item m="1" x="1833"/>
        <item m="1" x="1922"/>
        <item m="1" x="2010"/>
        <item m="1" x="2098"/>
        <item m="1" x="2182"/>
        <item m="1" x="385"/>
        <item m="1" x="470"/>
        <item m="1" x="557"/>
        <item m="1" x="642"/>
        <item m="1" x="728"/>
        <item m="1" x="816"/>
        <item m="1" x="904"/>
        <item m="1" x="992"/>
        <item m="1" x="1080"/>
        <item m="1" x="1166"/>
        <item m="1" x="1256"/>
        <item m="1" x="1344"/>
        <item m="1" x="1434"/>
        <item m="1" x="1523"/>
        <item m="1" x="1612"/>
        <item m="1" x="1701"/>
        <item m="1" x="1790"/>
        <item m="1" x="187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x="1"/>
        <item x="0"/>
      </items>
    </pivotField>
    <pivotField axis="axisRow" compact="0" outline="0" showAll="0" sortType="ascending" defaultSubtotal="0">
      <items count="403">
        <item m="1" x="125"/>
        <item m="1" x="135"/>
        <item m="1" x="326"/>
        <item m="1" x="46"/>
        <item m="1" x="156"/>
        <item m="1" x="202"/>
        <item m="1" x="238"/>
        <item m="1" x="245"/>
        <item m="1" x="19"/>
        <item m="1" x="3"/>
        <item m="1" x="148"/>
        <item m="1" x="128"/>
        <item m="1" x="110"/>
        <item m="1" x="80"/>
        <item m="1" x="45"/>
        <item m="1" x="211"/>
        <item m="1" x="221"/>
        <item m="1" x="35"/>
        <item m="1" x="235"/>
        <item m="1" x="189"/>
        <item m="1" x="191"/>
        <item m="1" x="301"/>
        <item m="1" x="79"/>
        <item m="1" x="74"/>
        <item m="1" x="77"/>
        <item m="1" x="91"/>
        <item m="1" x="130"/>
        <item m="1" x="89"/>
        <item m="1" x="198"/>
        <item m="1" x="160"/>
        <item m="1" x="354"/>
        <item m="1" x="336"/>
        <item m="1" x="368"/>
        <item m="1" x="330"/>
        <item m="1" x="100"/>
        <item m="1" x="322"/>
        <item m="1" x="253"/>
        <item m="1" x="212"/>
        <item m="1" x="315"/>
        <item m="1" x="86"/>
        <item m="1" x="92"/>
        <item m="1" x="242"/>
        <item m="1" x="11"/>
        <item m="1" x="317"/>
        <item m="1" x="10"/>
        <item m="1" x="8"/>
        <item m="1" x="219"/>
        <item m="1" x="339"/>
        <item m="1" x="281"/>
        <item m="1" x="210"/>
        <item m="1" x="48"/>
        <item m="1" x="264"/>
        <item m="1" x="172"/>
        <item m="1" x="76"/>
        <item m="1" x="236"/>
        <item m="1" x="401"/>
        <item m="1" x="67"/>
        <item m="1" x="231"/>
        <item m="1" x="262"/>
        <item m="1" x="308"/>
        <item m="1" x="394"/>
        <item m="1" x="109"/>
        <item m="1" x="75"/>
        <item m="1" x="392"/>
        <item m="1" x="372"/>
        <item m="1" x="280"/>
        <item m="1" x="319"/>
        <item m="1" x="348"/>
        <item m="1" x="258"/>
        <item m="1" x="51"/>
        <item m="1" x="72"/>
        <item m="1" x="290"/>
        <item m="1" x="4"/>
        <item m="1" x="193"/>
        <item m="1" x="331"/>
        <item m="1" x="174"/>
        <item m="1" x="357"/>
        <item m="1" x="142"/>
        <item m="1" x="176"/>
        <item m="1" x="272"/>
        <item m="1" x="349"/>
        <item m="1" x="186"/>
        <item m="1" x="94"/>
        <item m="1" x="87"/>
        <item m="1" x="63"/>
        <item m="1" x="377"/>
        <item m="1" x="313"/>
        <item m="1" x="369"/>
        <item m="1" x="355"/>
        <item m="1" x="85"/>
        <item m="1" x="338"/>
        <item m="1" x="332"/>
        <item m="1" x="9"/>
        <item m="1" x="260"/>
        <item m="1" x="108"/>
        <item m="1" x="352"/>
        <item m="1" x="83"/>
        <item m="1" x="364"/>
        <item m="1" x="312"/>
        <item m="1" x="374"/>
        <item m="1" x="329"/>
        <item m="1" x="47"/>
        <item m="1" x="103"/>
        <item m="1" x="284"/>
        <item m="1" x="350"/>
        <item m="1" x="306"/>
        <item m="1" x="168"/>
        <item m="1" x="14"/>
        <item m="1" x="208"/>
        <item m="1" x="78"/>
        <item m="1" x="246"/>
        <item m="1" x="206"/>
        <item m="1" x="390"/>
        <item m="1" x="382"/>
        <item m="1" x="359"/>
        <item m="1" x="73"/>
        <item m="1" x="111"/>
        <item m="1" x="29"/>
        <item m="1" x="150"/>
        <item m="1" x="333"/>
        <item m="1" x="341"/>
        <item m="1" x="41"/>
        <item m="1" x="294"/>
        <item m="1" x="283"/>
        <item m="1" x="58"/>
        <item m="1" x="31"/>
        <item m="1" x="162"/>
        <item m="1" x="298"/>
        <item m="1" x="387"/>
        <item m="1" x="60"/>
        <item m="1" x="201"/>
        <item m="1" x="137"/>
        <item m="1" x="363"/>
        <item m="1" x="296"/>
        <item m="1" x="292"/>
        <item m="1" x="161"/>
        <item m="1" x="21"/>
        <item m="1" x="241"/>
        <item m="1" x="237"/>
        <item m="1" x="17"/>
        <item m="1" x="50"/>
        <item m="1" x="248"/>
        <item m="1" x="342"/>
        <item m="1" x="157"/>
        <item m="1" x="204"/>
        <item m="1" x="223"/>
        <item m="1" x="66"/>
        <item m="1" x="243"/>
        <item m="1" x="380"/>
        <item m="1" x="30"/>
        <item m="1" x="391"/>
        <item m="1" x="182"/>
        <item m="1" x="266"/>
        <item m="1" x="122"/>
        <item m="1" x="39"/>
        <item m="1" x="84"/>
        <item m="1" x="107"/>
        <item m="1" x="251"/>
        <item m="1" x="257"/>
        <item m="1" x="276"/>
        <item m="1" x="99"/>
        <item m="1" x="310"/>
        <item m="1" x="95"/>
        <item m="1" x="104"/>
        <item m="1" x="222"/>
        <item m="1" x="343"/>
        <item m="1" x="57"/>
        <item m="1" x="282"/>
        <item m="1" x="346"/>
        <item m="1" x="399"/>
        <item m="1" x="70"/>
        <item m="1" x="321"/>
        <item m="1" x="56"/>
        <item m="1" x="59"/>
        <item m="1" x="293"/>
        <item m="1" x="273"/>
        <item m="1" x="402"/>
        <item m="1" x="5"/>
        <item m="1" x="154"/>
        <item m="1" x="200"/>
        <item m="1" x="340"/>
        <item m="1" x="178"/>
        <item m="1" x="61"/>
        <item m="1" x="33"/>
        <item m="1" x="389"/>
        <item m="1" x="81"/>
        <item m="1" x="250"/>
        <item m="1" x="141"/>
        <item m="1" x="305"/>
        <item m="1" x="269"/>
        <item m="1" x="279"/>
        <item m="1" x="169"/>
        <item m="1" x="289"/>
        <item m="1" x="134"/>
        <item m="1" x="190"/>
        <item m="1" x="54"/>
        <item m="1" x="62"/>
        <item m="1" x="197"/>
        <item m="1" x="147"/>
        <item m="1" x="38"/>
        <item m="1" x="360"/>
        <item m="1" x="188"/>
        <item m="1" x="247"/>
        <item m="1" x="2"/>
        <item m="1" x="132"/>
        <item m="1" x="309"/>
        <item m="1" x="185"/>
        <item m="1" x="345"/>
        <item m="1" x="6"/>
        <item m="1" x="373"/>
        <item m="1" x="207"/>
        <item m="1" x="344"/>
        <item m="1" x="347"/>
        <item m="1" x="102"/>
        <item m="1" x="379"/>
        <item m="1" x="36"/>
        <item m="1" x="375"/>
        <item m="1" x="297"/>
        <item m="1" x="65"/>
        <item m="1" x="214"/>
        <item m="1" x="124"/>
        <item m="1" x="239"/>
        <item m="1" x="228"/>
        <item m="1" x="96"/>
        <item m="1" x="64"/>
        <item m="1" x="267"/>
        <item m="1" x="383"/>
        <item m="1" x="139"/>
        <item m="1" x="378"/>
        <item m="1" x="278"/>
        <item m="1" x="299"/>
        <item m="1" x="353"/>
        <item m="1" x="40"/>
        <item m="1" x="218"/>
        <item m="1" x="259"/>
        <item m="1" x="275"/>
        <item m="1" x="230"/>
        <item m="1" x="307"/>
        <item m="1" x="300"/>
        <item m="1" x="13"/>
        <item m="1" x="42"/>
        <item m="1" x="53"/>
        <item m="1" x="371"/>
        <item m="1" x="121"/>
        <item m="1" x="334"/>
        <item m="1" x="115"/>
        <item m="1" x="144"/>
        <item m="1" x="82"/>
        <item m="1" x="268"/>
        <item m="1" x="49"/>
        <item m="1" x="112"/>
        <item m="1" x="149"/>
        <item m="1" x="199"/>
        <item m="1" x="28"/>
        <item m="1" x="37"/>
        <item m="1" x="196"/>
        <item m="1" x="396"/>
        <item m="1" x="358"/>
        <item m="1" x="138"/>
        <item m="1" x="285"/>
        <item m="1" x="114"/>
        <item m="1" x="88"/>
        <item m="1" x="158"/>
        <item m="1" x="400"/>
        <item m="1" x="7"/>
        <item m="1" x="177"/>
        <item m="1" x="113"/>
        <item m="1" x="20"/>
        <item m="1" x="314"/>
        <item m="1" x="304"/>
        <item m="1" x="335"/>
        <item m="1" x="295"/>
        <item m="1" x="52"/>
        <item m="1" x="370"/>
        <item m="1" x="397"/>
        <item m="1" x="381"/>
        <item m="1" x="195"/>
        <item m="1" x="165"/>
        <item m="1" x="316"/>
        <item m="1" x="365"/>
        <item m="1" x="388"/>
        <item m="1" x="183"/>
        <item m="1" x="203"/>
        <item m="1" x="170"/>
        <item m="1" x="15"/>
        <item m="1" x="265"/>
        <item m="1" x="27"/>
        <item m="1" x="361"/>
        <item m="1" x="320"/>
        <item m="1" x="120"/>
        <item m="1" x="155"/>
        <item m="1" x="181"/>
        <item m="1" x="215"/>
        <item m="1" x="261"/>
        <item m="1" x="229"/>
        <item m="1" x="180"/>
        <item m="1" x="12"/>
        <item m="1" x="277"/>
        <item m="1" x="263"/>
        <item m="1" x="244"/>
        <item m="1" x="225"/>
        <item m="1" x="232"/>
        <item m="1" x="22"/>
        <item m="1" x="117"/>
        <item m="1" x="311"/>
        <item m="1" x="25"/>
        <item m="1" x="166"/>
        <item m="1" x="220"/>
        <item m="1" x="303"/>
        <item m="1" x="240"/>
        <item m="1" x="393"/>
        <item m="1" x="129"/>
        <item m="1" x="118"/>
        <item m="1" x="256"/>
        <item m="1" x="23"/>
        <item m="1" x="192"/>
        <item m="1" x="386"/>
        <item m="1" x="173"/>
        <item m="1" x="184"/>
        <item m="1" x="255"/>
        <item m="1" x="119"/>
        <item m="1" x="327"/>
        <item m="1" x="376"/>
        <item m="1" x="146"/>
        <item m="1" x="328"/>
        <item m="1" x="356"/>
        <item m="1" x="288"/>
        <item m="1" x="385"/>
        <item m="1" x="164"/>
        <item m="1" x="152"/>
        <item m="1" x="187"/>
        <item m="1" x="179"/>
        <item m="1" x="34"/>
        <item m="1" x="324"/>
        <item m="1" x="302"/>
        <item m="1" x="116"/>
        <item m="1" x="145"/>
        <item m="1" x="1"/>
        <item m="1" x="43"/>
        <item m="1" x="287"/>
        <item m="1" x="133"/>
        <item m="1" x="126"/>
        <item m="1" x="398"/>
        <item m="1" x="367"/>
        <item m="1" x="127"/>
        <item m="1" x="123"/>
        <item m="1" x="226"/>
        <item m="1" x="97"/>
        <item m="1" x="252"/>
        <item m="1" x="98"/>
        <item m="1" x="106"/>
        <item m="1" x="93"/>
        <item m="1" x="217"/>
        <item m="1" x="16"/>
        <item m="1" x="175"/>
        <item m="1" x="286"/>
        <item m="1" x="171"/>
        <item m="1" x="233"/>
        <item m="1" x="69"/>
        <item m="1" x="24"/>
        <item m="1" x="205"/>
        <item m="1" x="270"/>
        <item m="1" x="44"/>
        <item m="1" x="362"/>
        <item m="1" x="249"/>
        <item m="1" x="163"/>
        <item m="1" x="90"/>
        <item m="1" x="213"/>
        <item m="1" x="18"/>
        <item m="1" x="194"/>
        <item m="1" x="151"/>
        <item m="1" x="224"/>
        <item m="1" x="105"/>
        <item m="1" x="153"/>
        <item m="1" x="209"/>
        <item m="1" x="323"/>
        <item m="1" x="395"/>
        <item m="1" x="291"/>
        <item m="1" x="26"/>
        <item m="1" x="55"/>
        <item m="1" x="159"/>
        <item m="1" x="143"/>
        <item m="1" x="167"/>
        <item m="1" x="384"/>
        <item m="1" x="274"/>
        <item m="1" x="351"/>
        <item m="1" x="366"/>
        <item m="1" x="216"/>
        <item m="1" x="101"/>
        <item m="1" x="140"/>
        <item m="1" x="136"/>
        <item m="1" x="68"/>
        <item m="1" x="71"/>
        <item m="1" x="271"/>
        <item m="1" x="325"/>
        <item m="1" x="32"/>
        <item m="1" x="254"/>
        <item m="1" x="234"/>
        <item m="1" x="227"/>
        <item m="1" x="131"/>
        <item m="1" x="337"/>
        <item m="1" x="318"/>
        <item x="0"/>
      </items>
    </pivotField>
    <pivotField axis="axisRow" compact="0" outline="0" showAll="0" defaultSubtotal="0">
      <items count="346">
        <item m="1" x="324"/>
        <item m="1" x="180"/>
        <item m="1" x="330"/>
        <item m="1" x="184"/>
        <item m="1" x="334"/>
        <item m="1" x="188"/>
        <item m="1" x="192"/>
        <item m="1" x="342"/>
        <item m="1" x="196"/>
        <item m="1" x="54"/>
        <item m="1" x="198"/>
        <item m="1" x="284"/>
        <item m="1" x="292"/>
        <item m="1" x="149"/>
        <item m="1" x="154"/>
        <item m="1" x="302"/>
        <item m="1" x="160"/>
        <item m="1" x="167"/>
        <item m="1" x="314"/>
        <item m="1" x="171"/>
        <item m="1" x="320"/>
        <item m="1" x="175"/>
        <item m="1" x="325"/>
        <item m="1" x="331"/>
        <item m="1" x="185"/>
        <item m="1" x="335"/>
        <item m="1" x="189"/>
        <item m="1" x="338"/>
        <item m="1" x="193"/>
        <item m="1" x="343"/>
        <item m="1" x="56"/>
        <item m="1" x="200"/>
        <item m="1" x="59"/>
        <item m="1" x="63"/>
        <item m="1" x="297"/>
        <item m="1" x="155"/>
        <item m="1" x="303"/>
        <item m="1" x="161"/>
        <item m="1" x="308"/>
        <item m="1" x="315"/>
        <item m="1" x="172"/>
        <item m="1" x="321"/>
        <item m="1" x="176"/>
        <item m="1" x="326"/>
        <item m="1" x="181"/>
        <item m="1" x="186"/>
        <item m="1" x="336"/>
        <item m="1" x="190"/>
        <item m="1" x="339"/>
        <item m="1" x="194"/>
        <item m="1" x="344"/>
        <item m="1" x="55"/>
        <item m="1" x="199"/>
        <item m="1" x="57"/>
        <item m="1" x="201"/>
        <item m="1" x="60"/>
        <item m="1" x="203"/>
        <item m="1" x="206"/>
        <item m="1" x="66"/>
        <item m="1" x="309"/>
        <item m="1" x="168"/>
        <item m="1" x="316"/>
        <item m="1" x="177"/>
        <item m="1" x="327"/>
        <item m="1" x="182"/>
        <item m="1" x="332"/>
        <item m="1" x="191"/>
        <item m="1" x="340"/>
        <item m="1" x="195"/>
        <item m="1" x="345"/>
        <item m="1" x="197"/>
        <item m="1" x="58"/>
        <item m="1" x="202"/>
        <item m="1" x="61"/>
        <item m="1" x="204"/>
        <item m="1" x="64"/>
        <item m="1" x="69"/>
        <item m="1" x="211"/>
        <item m="1" x="71"/>
        <item m="1" x="214"/>
        <item m="1" x="75"/>
        <item m="1" x="62"/>
        <item m="1" x="205"/>
        <item m="1" x="65"/>
        <item m="1" x="207"/>
        <item m="1" x="67"/>
        <item m="1" x="209"/>
        <item m="1" x="212"/>
        <item m="1" x="72"/>
        <item m="1" x="215"/>
        <item m="1" x="76"/>
        <item m="1" x="218"/>
        <item m="1" x="79"/>
        <item m="1" x="82"/>
        <item m="1" x="223"/>
        <item m="1" x="84"/>
        <item m="1" x="228"/>
        <item m="1" x="89"/>
        <item m="1" x="232"/>
        <item m="1" x="237"/>
        <item m="1" x="97"/>
        <item m="1" x="241"/>
        <item m="1" x="248"/>
        <item m="1" x="107"/>
        <item m="1" x="113"/>
        <item m="1" x="261"/>
        <item m="1" x="208"/>
        <item m="1" x="68"/>
        <item m="1" x="210"/>
        <item m="1" x="70"/>
        <item m="1" x="73"/>
        <item m="1" x="216"/>
        <item m="1" x="77"/>
        <item m="1" x="219"/>
        <item m="1" x="80"/>
        <item m="1" x="224"/>
        <item m="1" x="85"/>
        <item m="1" x="229"/>
        <item m="1" x="90"/>
        <item m="1" x="233"/>
        <item m="1" x="98"/>
        <item m="1" x="242"/>
        <item m="1" x="102"/>
        <item m="1" x="249"/>
        <item m="1" x="108"/>
        <item m="1" x="254"/>
        <item m="1" x="262"/>
        <item m="1" x="119"/>
        <item m="1" x="213"/>
        <item m="1" x="74"/>
        <item m="1" x="217"/>
        <item m="1" x="78"/>
        <item m="1" x="81"/>
        <item m="1" x="221"/>
        <item m="1" x="225"/>
        <item m="1" x="86"/>
        <item m="1" x="230"/>
        <item m="1" x="234"/>
        <item m="1" x="93"/>
        <item m="1" x="238"/>
        <item m="1" x="99"/>
        <item m="1" x="243"/>
        <item m="1" x="103"/>
        <item m="1" x="109"/>
        <item m="1" x="255"/>
        <item m="1" x="114"/>
        <item m="1" x="263"/>
        <item m="1" x="120"/>
        <item m="1" x="267"/>
        <item m="1" x="273"/>
        <item m="1" x="131"/>
        <item m="1" x="278"/>
        <item m="1" x="138"/>
        <item m="1" x="285"/>
        <item m="1" x="220"/>
        <item m="1" x="222"/>
        <item m="1" x="83"/>
        <item m="1" x="226"/>
        <item m="1" x="87"/>
        <item m="1" x="231"/>
        <item m="1" x="91"/>
        <item m="1" x="94"/>
        <item m="1" x="239"/>
        <item m="1" x="100"/>
        <item m="1" x="244"/>
        <item m="1" x="104"/>
        <item m="1" x="250"/>
        <item m="1" x="256"/>
        <item m="1" x="115"/>
        <item m="1" x="121"/>
        <item m="1" x="268"/>
        <item m="1" x="126"/>
        <item m="1" x="132"/>
        <item m="1" x="279"/>
        <item m="1" x="139"/>
        <item m="1" x="286"/>
        <item m="1" x="144"/>
        <item m="1" x="227"/>
        <item m="1" x="88"/>
        <item m="1" x="92"/>
        <item m="1" x="235"/>
        <item m="1" x="95"/>
        <item m="1" x="101"/>
        <item m="1" x="245"/>
        <item m="1" x="105"/>
        <item m="1" x="251"/>
        <item m="1" x="110"/>
        <item m="1" x="257"/>
        <item m="1" x="264"/>
        <item m="1" x="122"/>
        <item m="1" x="269"/>
        <item m="1" x="127"/>
        <item m="1" x="274"/>
        <item m="1" x="133"/>
        <item m="1" x="140"/>
        <item m="1" x="287"/>
        <item m="1" x="145"/>
        <item m="1" x="293"/>
        <item m="1" x="150"/>
        <item m="1" x="298"/>
        <item m="1" x="304"/>
        <item m="1" x="162"/>
        <item m="1" x="310"/>
        <item m="1" x="236"/>
        <item m="1" x="96"/>
        <item m="1" x="240"/>
        <item m="1" x="246"/>
        <item m="1" x="106"/>
        <item m="1" x="252"/>
        <item m="1" x="111"/>
        <item m="1" x="258"/>
        <item m="1" x="116"/>
        <item m="1" x="123"/>
        <item m="1" x="270"/>
        <item m="1" x="128"/>
        <item m="1" x="275"/>
        <item m="1" x="134"/>
        <item m="1" x="280"/>
        <item m="1" x="288"/>
        <item m="1" x="146"/>
        <item m="1" x="294"/>
        <item m="1" x="151"/>
        <item m="1" x="299"/>
        <item m="1" x="156"/>
        <item m="1" x="163"/>
        <item m="1" x="311"/>
        <item m="1" x="169"/>
        <item m="1" x="317"/>
        <item m="1" x="173"/>
        <item m="1" x="247"/>
        <item m="1" x="253"/>
        <item m="1" x="112"/>
        <item m="1" x="259"/>
        <item m="1" x="117"/>
        <item m="1" x="265"/>
        <item m="1" x="124"/>
        <item m="1" x="129"/>
        <item m="1" x="276"/>
        <item m="1" x="135"/>
        <item m="1" x="281"/>
        <item m="1" x="141"/>
        <item m="1" x="289"/>
        <item m="1" x="295"/>
        <item m="1" x="152"/>
        <item m="1" x="300"/>
        <item m="1" x="157"/>
        <item m="1" x="305"/>
        <item m="1" x="164"/>
        <item m="1" x="170"/>
        <item m="1" x="318"/>
        <item m="1" x="322"/>
        <item m="1" x="178"/>
        <item m="1" x="328"/>
        <item m="1" x="333"/>
        <item m="1" x="260"/>
        <item m="1" x="118"/>
        <item m="1" x="266"/>
        <item m="1" x="125"/>
        <item m="1" x="271"/>
        <item m="1" x="277"/>
        <item m="1" x="136"/>
        <item m="1" x="282"/>
        <item m="1" x="142"/>
        <item m="1" x="290"/>
        <item m="1" x="147"/>
        <item m="1" x="153"/>
        <item m="1" x="158"/>
        <item m="1" x="306"/>
        <item m="1" x="165"/>
        <item m="1" x="312"/>
        <item m="1" x="319"/>
        <item m="1" x="174"/>
        <item m="1" x="323"/>
        <item m="1" x="179"/>
        <item m="1" x="329"/>
        <item m="1" x="183"/>
        <item m="1" x="187"/>
        <item m="1" x="337"/>
        <item m="1" x="341"/>
        <item m="1" x="272"/>
        <item m="1" x="130"/>
        <item m="1" x="137"/>
        <item m="1" x="283"/>
        <item m="1" x="143"/>
        <item m="1" x="291"/>
        <item m="1" x="148"/>
        <item m="1" x="296"/>
        <item m="1" x="301"/>
        <item m="1" x="159"/>
        <item m="1" x="307"/>
        <item m="1" x="166"/>
        <item m="1" x="313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x="0"/>
        <item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2"/>
    <field x="0"/>
    <field x="1"/>
  </rowFields>
  <rowItems count="3">
    <i>
      <x v="344"/>
      <x v="2192"/>
      <x v="402"/>
    </i>
    <i>
      <x v="345"/>
      <x v="2191"/>
      <x v="402"/>
    </i>
    <i t="grand">
      <x/>
    </i>
  </rowItems>
  <colItems count="1">
    <i/>
  </colItems>
  <dataFields count="1">
    <dataField name="Sum of Amount" fld="3" baseField="2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5" totalsRowShown="0" headerRowDxfId="19" dataDxfId="18">
  <autoFilter ref="A2:C5" xr:uid="{00000000-0009-0000-0100-000002000000}"/>
  <sortState xmlns:xlrd2="http://schemas.microsoft.com/office/spreadsheetml/2017/richdata2" ref="A3:C510">
    <sortCondition ref="A2:A510"/>
  </sortState>
  <tableColumns count="3">
    <tableColumn id="1" xr3:uid="{00000000-0010-0000-0000-000001000000}" name="Party name" dataDxfId="17"/>
    <tableColumn id="2" xr3:uid="{00000000-0010-0000-0000-000002000000}" name="Phone Number " dataDxfId="16"/>
    <tableColumn id="3" xr3:uid="{B614E4EB-857A-4329-B3C1-F97FF4E58FD8}" name="City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:C5" totalsRowShown="0" headerRowDxfId="13" dataDxfId="12">
  <autoFilter ref="A1:C5" xr:uid="{00000000-0009-0000-0100-000004000000}"/>
  <sortState xmlns:xlrd2="http://schemas.microsoft.com/office/spreadsheetml/2017/richdata2" ref="A2:C178">
    <sortCondition ref="A1:A178"/>
  </sortState>
  <tableColumns count="3">
    <tableColumn id="1" xr3:uid="{00000000-0010-0000-0100-000001000000}" name="Item name " dataDxfId="11"/>
    <tableColumn id="2" xr3:uid="{00000000-0010-0000-0100-000002000000}" name="Unit " dataDxfId="10"/>
    <tableColumn id="3" xr3:uid="{00000000-0010-0000-0100-000003000000}" name="Price " dataDxfId="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A1:B2" insertRow="1" totalsRowShown="0" headerRowDxfId="8" dataDxfId="7">
  <autoFilter ref="A1:B2" xr:uid="{00000000-0009-0000-0100-000006000000}"/>
  <sortState xmlns:xlrd2="http://schemas.microsoft.com/office/spreadsheetml/2017/richdata2" ref="A2:B3">
    <sortCondition ref="A1:A3"/>
  </sortState>
  <tableColumns count="2">
    <tableColumn id="1" xr3:uid="{00000000-0010-0000-0200-000001000000}" name="Transport" dataDxfId="6"/>
    <tableColumn id="2" xr3:uid="{00000000-0010-0000-0200-000002000000}" name="Gst Number" dataDxfId="5"/>
  </tableColumns>
  <tableStyleInfo name="TableStyleMedium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25EFD0-3B3B-4CB0-AEC4-9A05C1AAB88F}" name="Table1" displayName="Table1" ref="A1:G309" totalsRowShown="0" headerRowDxfId="4">
  <autoFilter ref="A1:G309" xr:uid="{A6E39ADE-78CA-4911-92E0-90E06AAC5752}"/>
  <tableColumns count="7">
    <tableColumn id="1" xr3:uid="{93E8638D-1F59-422B-AF02-488971AF6416}" name="Invoice No."/>
    <tableColumn id="2" xr3:uid="{71C15102-9D2B-4C50-B3BF-2E652B3FB0F7}" name="Party Name"/>
    <tableColumn id="3" xr3:uid="{29775C27-A6AD-4D6B-A71A-032691F8264E}" name="Date " dataDxfId="3"/>
    <tableColumn id="4" xr3:uid="{54A566C1-06C1-4831-8784-2A29560D661D}" name="Amount" dataDxfId="2"/>
    <tableColumn id="5" xr3:uid="{F98A8D9B-FD57-458F-B4DD-F746D94CF245}" name="Paid"/>
    <tableColumn id="6" xr3:uid="{DFCBF69B-2F5A-4D42-BBFC-5F1FCD94DBD4}" name="Invoice saved as PDF"/>
    <tableColumn id="7" xr3:uid="{4BA1C395-A335-4084-AEB2-6BB7560219BF}" name="Invoice saved as excel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53"/>
  <sheetViews>
    <sheetView showZeros="0" tabSelected="1" topLeftCell="A21" zoomScale="99" zoomScaleNormal="99" workbookViewId="0">
      <selection activeCell="E12" sqref="E12"/>
    </sheetView>
  </sheetViews>
  <sheetFormatPr defaultColWidth="0" defaultRowHeight="14.4" zeroHeight="1"/>
  <cols>
    <col min="1" max="1" width="4.21875" style="9" customWidth="1"/>
    <col min="2" max="2" width="6.5546875" style="9" bestFit="1" customWidth="1"/>
    <col min="3" max="3" width="5" style="9" customWidth="1"/>
    <col min="4" max="4" width="28.77734375" style="9" customWidth="1"/>
    <col min="5" max="5" width="8.21875" style="9" customWidth="1"/>
    <col min="6" max="6" width="4.5546875" style="9" customWidth="1"/>
    <col min="7" max="7" width="11.77734375" style="9" customWidth="1"/>
    <col min="8" max="12" width="7.77734375" style="9" customWidth="1"/>
    <col min="13" max="14" width="0" style="9" hidden="1"/>
    <col min="15" max="16383" width="9.21875" style="9" hidden="1"/>
    <col min="16384" max="16384" width="2.77734375" style="9" hidden="1" customWidth="1"/>
  </cols>
  <sheetData>
    <row r="1" spans="1:13" ht="3" hidden="1" customHeight="1"/>
    <row r="2" spans="1:13" ht="7.5" customHeight="1">
      <c r="A2" s="77" t="s">
        <v>11</v>
      </c>
      <c r="B2" s="77"/>
      <c r="C2" s="77"/>
      <c r="D2" s="77"/>
      <c r="E2" s="77"/>
      <c r="F2" s="77"/>
      <c r="G2" s="77"/>
    </row>
    <row r="3" spans="1:13" ht="7.5" customHeight="1">
      <c r="A3" s="78"/>
      <c r="B3" s="78"/>
      <c r="C3" s="78"/>
      <c r="D3" s="78"/>
      <c r="E3" s="78"/>
      <c r="F3" s="78"/>
      <c r="G3" s="78"/>
    </row>
    <row r="4" spans="1:13" ht="9.6" customHeight="1">
      <c r="A4" s="88"/>
      <c r="B4" s="89"/>
      <c r="C4" s="89"/>
      <c r="D4" s="89"/>
      <c r="E4" s="90" t="s">
        <v>12</v>
      </c>
      <c r="F4" s="90"/>
      <c r="G4" s="32">
        <v>3</v>
      </c>
      <c r="J4" s="9" t="s">
        <v>16</v>
      </c>
    </row>
    <row r="5" spans="1:13" ht="10.5" customHeight="1">
      <c r="A5" s="27" t="s">
        <v>8</v>
      </c>
      <c r="B5" s="85" t="s">
        <v>45</v>
      </c>
      <c r="C5" s="85"/>
      <c r="D5" s="85"/>
      <c r="E5" s="79">
        <f ca="1">TODAY()</f>
        <v>45498</v>
      </c>
      <c r="F5" s="80"/>
      <c r="G5" s="81"/>
      <c r="I5" s="9" t="s">
        <v>16</v>
      </c>
      <c r="J5" s="9" t="s">
        <v>26</v>
      </c>
    </row>
    <row r="6" spans="1:13" ht="10.5" customHeight="1">
      <c r="A6" s="10"/>
      <c r="B6" s="86">
        <f>IFERROR(VLOOKUP(B5,partyname!A2:B5,2,),"")</f>
        <v>423324984</v>
      </c>
      <c r="C6" s="87"/>
      <c r="D6" s="87"/>
      <c r="E6" s="82"/>
      <c r="F6" s="83"/>
      <c r="G6" s="84"/>
      <c r="H6" s="9" t="s">
        <v>16</v>
      </c>
      <c r="I6" s="9" t="s">
        <v>17</v>
      </c>
      <c r="M6" s="9" t="s">
        <v>20</v>
      </c>
    </row>
    <row r="7" spans="1:13" ht="10.5" customHeight="1">
      <c r="A7" s="50" t="s">
        <v>24</v>
      </c>
      <c r="B7" s="70"/>
      <c r="C7" s="70"/>
      <c r="D7" s="70"/>
      <c r="E7" s="48"/>
      <c r="F7" s="48"/>
      <c r="G7" s="49"/>
    </row>
    <row r="8" spans="1:13" ht="11.25" customHeight="1">
      <c r="A8" s="91" t="s">
        <v>13</v>
      </c>
      <c r="B8" s="92"/>
      <c r="C8" s="69"/>
      <c r="D8" s="69"/>
      <c r="E8" s="11"/>
      <c r="F8" s="11"/>
      <c r="G8" s="12"/>
    </row>
    <row r="9" spans="1:13" ht="6.75" customHeight="1">
      <c r="A9" s="71" t="s">
        <v>0</v>
      </c>
      <c r="B9" s="71" t="s">
        <v>1</v>
      </c>
      <c r="C9" s="71" t="s">
        <v>42</v>
      </c>
      <c r="D9" s="71" t="s">
        <v>41</v>
      </c>
      <c r="E9" s="71" t="s">
        <v>37</v>
      </c>
      <c r="F9" s="71" t="s">
        <v>9</v>
      </c>
      <c r="G9" s="71" t="s">
        <v>2</v>
      </c>
    </row>
    <row r="10" spans="1:13" ht="4.2" customHeight="1">
      <c r="A10" s="72"/>
      <c r="B10" s="72"/>
      <c r="C10" s="72"/>
      <c r="D10" s="72"/>
      <c r="E10" s="72"/>
      <c r="F10" s="72"/>
      <c r="G10" s="72"/>
      <c r="M10" s="9" t="s">
        <v>19</v>
      </c>
    </row>
    <row r="11" spans="1:13" ht="12" customHeight="1">
      <c r="A11" s="39">
        <f>IF(D11="","",1)</f>
        <v>1</v>
      </c>
      <c r="B11" s="22">
        <v>50</v>
      </c>
      <c r="C11" s="41" t="str">
        <f>IFERROR(VLOOKUP(D11,Table4[],2,0),"")</f>
        <v>Pcs</v>
      </c>
      <c r="D11" s="17" t="s">
        <v>49</v>
      </c>
      <c r="E11" s="30">
        <v>50</v>
      </c>
      <c r="F11" s="14"/>
      <c r="G11" s="43">
        <f>IFERROR(B11*E11-B11*E11*F11/100,"")</f>
        <v>2500</v>
      </c>
    </row>
    <row r="12" spans="1:13" ht="12" customHeight="1">
      <c r="A12" s="40" t="str">
        <f>IF(D12="","",A11+1)</f>
        <v/>
      </c>
      <c r="B12" s="23"/>
      <c r="C12" s="41" t="str">
        <f>IFERROR(VLOOKUP(D12,Table4[],2,0),"")</f>
        <v/>
      </c>
      <c r="D12" s="18"/>
      <c r="E12" s="28"/>
      <c r="F12" s="14"/>
      <c r="G12" s="44">
        <f t="shared" ref="G12:G47" si="0">IFERROR(B12*E12-B12*E12*F12/100,"")</f>
        <v>0</v>
      </c>
    </row>
    <row r="13" spans="1:13" ht="12" customHeight="1">
      <c r="A13" s="40" t="str">
        <f t="shared" ref="A13:A47" si="1">IF(D13="","",A12+1)</f>
        <v/>
      </c>
      <c r="B13" s="23"/>
      <c r="C13" s="41" t="str">
        <f>IFERROR(VLOOKUP(D13,Table4[],2,0),"")</f>
        <v/>
      </c>
      <c r="D13" s="18"/>
      <c r="E13" s="47"/>
      <c r="F13" s="14"/>
      <c r="G13" s="44">
        <f t="shared" si="0"/>
        <v>0</v>
      </c>
      <c r="H13" s="9" t="s">
        <v>18</v>
      </c>
      <c r="M13" s="9" t="s">
        <v>21</v>
      </c>
    </row>
    <row r="14" spans="1:13" ht="12" customHeight="1">
      <c r="A14" s="40" t="str">
        <f t="shared" si="1"/>
        <v/>
      </c>
      <c r="B14" s="23"/>
      <c r="C14" s="41" t="str">
        <f>IFERROR(VLOOKUP(D14,Table4[],2,0),"")</f>
        <v/>
      </c>
      <c r="D14" s="18"/>
      <c r="E14" s="28"/>
      <c r="F14" s="14"/>
      <c r="G14" s="44">
        <f t="shared" si="0"/>
        <v>0</v>
      </c>
    </row>
    <row r="15" spans="1:13" ht="12" customHeight="1">
      <c r="A15" s="40" t="str">
        <f t="shared" si="1"/>
        <v/>
      </c>
      <c r="B15" s="23"/>
      <c r="C15" s="41" t="str">
        <f>IFERROR(VLOOKUP(D15,Table4[],2,0),"")</f>
        <v/>
      </c>
      <c r="D15" s="18"/>
      <c r="E15" s="28"/>
      <c r="F15" s="14"/>
      <c r="G15" s="44">
        <f t="shared" si="0"/>
        <v>0</v>
      </c>
      <c r="M15" s="9" t="s">
        <v>22</v>
      </c>
    </row>
    <row r="16" spans="1:13" ht="12" customHeight="1">
      <c r="A16" s="40" t="str">
        <f t="shared" si="1"/>
        <v/>
      </c>
      <c r="B16" s="23"/>
      <c r="C16" s="41" t="str">
        <f>IFERROR(VLOOKUP(D16,Table4[],2,0),"")</f>
        <v/>
      </c>
      <c r="D16" s="18"/>
      <c r="E16" s="28"/>
      <c r="F16" s="14"/>
      <c r="G16" s="44">
        <f t="shared" si="0"/>
        <v>0</v>
      </c>
    </row>
    <row r="17" spans="1:7" ht="12" customHeight="1">
      <c r="A17" s="40" t="str">
        <f t="shared" si="1"/>
        <v/>
      </c>
      <c r="B17" s="23"/>
      <c r="C17" s="41" t="str">
        <f>IFERROR(VLOOKUP(D17,Table4[],2,0),"")</f>
        <v/>
      </c>
      <c r="D17" s="18"/>
      <c r="E17" s="28"/>
      <c r="F17" s="33"/>
      <c r="G17" s="44">
        <f t="shared" si="0"/>
        <v>0</v>
      </c>
    </row>
    <row r="18" spans="1:7" ht="12" customHeight="1">
      <c r="A18" s="40" t="str">
        <f t="shared" si="1"/>
        <v/>
      </c>
      <c r="B18" s="23"/>
      <c r="C18" s="41" t="str">
        <f>IFERROR(VLOOKUP(D18,Table4[],2,0),"")</f>
        <v/>
      </c>
      <c r="D18" s="18"/>
      <c r="E18" s="14"/>
      <c r="F18" s="33"/>
      <c r="G18" s="44">
        <f t="shared" si="0"/>
        <v>0</v>
      </c>
    </row>
    <row r="19" spans="1:7" ht="12" customHeight="1">
      <c r="A19" s="40" t="str">
        <f t="shared" si="1"/>
        <v/>
      </c>
      <c r="B19" s="23"/>
      <c r="C19" s="41" t="str">
        <f>IFERROR(VLOOKUP(D19,Table4[],2,0),"")</f>
        <v/>
      </c>
      <c r="D19" s="18"/>
      <c r="E19" s="28"/>
      <c r="F19" s="33"/>
      <c r="G19" s="44">
        <f t="shared" si="0"/>
        <v>0</v>
      </c>
    </row>
    <row r="20" spans="1:7" ht="12" customHeight="1">
      <c r="A20" s="40" t="str">
        <f t="shared" si="1"/>
        <v/>
      </c>
      <c r="B20" s="23"/>
      <c r="C20" s="41" t="str">
        <f>IFERROR(VLOOKUP(D20,Table4[],2,0),"")</f>
        <v/>
      </c>
      <c r="D20" s="18"/>
      <c r="E20" s="28"/>
      <c r="F20" s="33"/>
      <c r="G20" s="44">
        <f t="shared" si="0"/>
        <v>0</v>
      </c>
    </row>
    <row r="21" spans="1:7" ht="12" customHeight="1">
      <c r="A21" s="40" t="str">
        <f t="shared" si="1"/>
        <v/>
      </c>
      <c r="B21" s="23"/>
      <c r="C21" s="41" t="str">
        <f>IFERROR(VLOOKUP(D21,Table4[],2,0),"")</f>
        <v/>
      </c>
      <c r="D21" s="18"/>
      <c r="E21" s="28"/>
      <c r="F21" s="33"/>
      <c r="G21" s="44">
        <f t="shared" si="0"/>
        <v>0</v>
      </c>
    </row>
    <row r="22" spans="1:7" ht="12" customHeight="1">
      <c r="A22" s="40" t="str">
        <f t="shared" si="1"/>
        <v/>
      </c>
      <c r="B22" s="23"/>
      <c r="C22" s="41" t="str">
        <f>IFERROR(VLOOKUP(D22,Table4[],2,0),"")</f>
        <v/>
      </c>
      <c r="D22" s="18"/>
      <c r="E22" s="28"/>
      <c r="F22" s="33"/>
      <c r="G22" s="44">
        <f t="shared" si="0"/>
        <v>0</v>
      </c>
    </row>
    <row r="23" spans="1:7" ht="12" customHeight="1">
      <c r="A23" s="40" t="str">
        <f t="shared" si="1"/>
        <v/>
      </c>
      <c r="B23" s="23"/>
      <c r="C23" s="41" t="str">
        <f>IFERROR(VLOOKUP(D23,Table4[],2,0),"")</f>
        <v/>
      </c>
      <c r="D23" s="18"/>
      <c r="E23" s="28"/>
      <c r="F23" s="33"/>
      <c r="G23" s="44">
        <f t="shared" si="0"/>
        <v>0</v>
      </c>
    </row>
    <row r="24" spans="1:7" ht="12" customHeight="1">
      <c r="A24" s="40" t="str">
        <f t="shared" si="1"/>
        <v/>
      </c>
      <c r="B24" s="23"/>
      <c r="C24" s="41" t="str">
        <f>IFERROR(VLOOKUP(D24,Table4[],2,0),"")</f>
        <v/>
      </c>
      <c r="D24" s="18"/>
      <c r="E24" s="28"/>
      <c r="F24" s="33"/>
      <c r="G24" s="44">
        <f t="shared" si="0"/>
        <v>0</v>
      </c>
    </row>
    <row r="25" spans="1:7" ht="12" customHeight="1">
      <c r="A25" s="40" t="str">
        <f t="shared" si="1"/>
        <v/>
      </c>
      <c r="B25" s="23"/>
      <c r="C25" s="41" t="str">
        <f>IFERROR(VLOOKUP(D25,Table4[],2,0),"")</f>
        <v/>
      </c>
      <c r="D25" s="18"/>
      <c r="E25" s="28"/>
      <c r="F25" s="33"/>
      <c r="G25" s="44">
        <f t="shared" si="0"/>
        <v>0</v>
      </c>
    </row>
    <row r="26" spans="1:7" ht="12" customHeight="1">
      <c r="A26" s="40" t="str">
        <f t="shared" si="1"/>
        <v/>
      </c>
      <c r="B26" s="23"/>
      <c r="C26" s="41" t="str">
        <f>IFERROR(VLOOKUP(D26,Table4[],2,0),"")</f>
        <v/>
      </c>
      <c r="D26" s="18"/>
      <c r="E26" s="28"/>
      <c r="F26" s="33"/>
      <c r="G26" s="44">
        <f t="shared" si="0"/>
        <v>0</v>
      </c>
    </row>
    <row r="27" spans="1:7" ht="12" customHeight="1">
      <c r="A27" s="40" t="str">
        <f t="shared" si="1"/>
        <v/>
      </c>
      <c r="B27" s="23"/>
      <c r="C27" s="41" t="str">
        <f>IFERROR(VLOOKUP(D27,Table4[],2,0),"")</f>
        <v/>
      </c>
      <c r="D27" s="18"/>
      <c r="E27" s="28"/>
      <c r="F27" s="33"/>
      <c r="G27" s="44">
        <f t="shared" si="0"/>
        <v>0</v>
      </c>
    </row>
    <row r="28" spans="1:7" ht="12" customHeight="1">
      <c r="A28" s="40" t="str">
        <f t="shared" si="1"/>
        <v/>
      </c>
      <c r="B28" s="23"/>
      <c r="C28" s="41" t="str">
        <f>IFERROR(VLOOKUP(D28,Table4[],2,0),"")</f>
        <v/>
      </c>
      <c r="D28" s="18"/>
      <c r="E28" s="28"/>
      <c r="F28" s="33"/>
      <c r="G28" s="44">
        <f t="shared" si="0"/>
        <v>0</v>
      </c>
    </row>
    <row r="29" spans="1:7" ht="12" customHeight="1">
      <c r="A29" s="40" t="str">
        <f t="shared" si="1"/>
        <v/>
      </c>
      <c r="B29" s="23"/>
      <c r="C29" s="41" t="str">
        <f>IFERROR(VLOOKUP(D29,Table4[],2,0),"")</f>
        <v/>
      </c>
      <c r="D29" s="18"/>
      <c r="E29" s="28"/>
      <c r="F29" s="33"/>
      <c r="G29" s="44">
        <f t="shared" si="0"/>
        <v>0</v>
      </c>
    </row>
    <row r="30" spans="1:7" ht="12" customHeight="1">
      <c r="A30" s="40" t="str">
        <f t="shared" si="1"/>
        <v/>
      </c>
      <c r="B30" s="23"/>
      <c r="C30" s="41" t="str">
        <f>IFERROR(VLOOKUP(D30,Table4[],2,0),"")</f>
        <v/>
      </c>
      <c r="D30" s="18"/>
      <c r="E30" s="28"/>
      <c r="F30" s="33"/>
      <c r="G30" s="44">
        <f t="shared" si="0"/>
        <v>0</v>
      </c>
    </row>
    <row r="31" spans="1:7" ht="12" customHeight="1">
      <c r="A31" s="40" t="str">
        <f t="shared" si="1"/>
        <v/>
      </c>
      <c r="B31" s="23"/>
      <c r="C31" s="41" t="str">
        <f>IFERROR(VLOOKUP(D31,Table4[],2,0),"")</f>
        <v/>
      </c>
      <c r="D31" s="18"/>
      <c r="E31" s="28"/>
      <c r="F31" s="33"/>
      <c r="G31" s="44">
        <f t="shared" si="0"/>
        <v>0</v>
      </c>
    </row>
    <row r="32" spans="1:7" ht="12" customHeight="1">
      <c r="A32" s="40" t="str">
        <f t="shared" si="1"/>
        <v/>
      </c>
      <c r="B32" s="23"/>
      <c r="C32" s="41" t="str">
        <f>IFERROR(VLOOKUP(D32,Table4[],2,0),"")</f>
        <v/>
      </c>
      <c r="D32" s="18"/>
      <c r="E32" s="28"/>
      <c r="F32" s="33"/>
      <c r="G32" s="44">
        <f t="shared" si="0"/>
        <v>0</v>
      </c>
    </row>
    <row r="33" spans="1:10" ht="12" customHeight="1">
      <c r="A33" s="40" t="str">
        <f t="shared" si="1"/>
        <v/>
      </c>
      <c r="B33" s="23"/>
      <c r="C33" s="41" t="str">
        <f>IFERROR(VLOOKUP(D33,Table4[],2,0),"")</f>
        <v/>
      </c>
      <c r="D33" s="18"/>
      <c r="E33" s="28"/>
      <c r="F33" s="33"/>
      <c r="G33" s="44">
        <f t="shared" si="0"/>
        <v>0</v>
      </c>
      <c r="J33" s="9" t="s">
        <v>16</v>
      </c>
    </row>
    <row r="34" spans="1:10" ht="12" customHeight="1">
      <c r="A34" s="40" t="str">
        <f t="shared" si="1"/>
        <v/>
      </c>
      <c r="B34" s="23"/>
      <c r="C34" s="41" t="str">
        <f>IFERROR(VLOOKUP(D34,Table4[],2,0),"")</f>
        <v/>
      </c>
      <c r="D34" s="18"/>
      <c r="E34" s="28"/>
      <c r="F34" s="33"/>
      <c r="G34" s="44">
        <f t="shared" si="0"/>
        <v>0</v>
      </c>
    </row>
    <row r="35" spans="1:10" ht="12" customHeight="1">
      <c r="A35" s="40" t="str">
        <f t="shared" si="1"/>
        <v/>
      </c>
      <c r="B35" s="23"/>
      <c r="C35" s="41" t="str">
        <f>IFERROR(VLOOKUP(D35,Table4[],2,0),"")</f>
        <v/>
      </c>
      <c r="D35" s="18"/>
      <c r="E35" s="28"/>
      <c r="F35" s="33"/>
      <c r="G35" s="44">
        <f t="shared" si="0"/>
        <v>0</v>
      </c>
    </row>
    <row r="36" spans="1:10" ht="12" customHeight="1">
      <c r="A36" s="40" t="str">
        <f t="shared" si="1"/>
        <v/>
      </c>
      <c r="B36" s="23"/>
      <c r="C36" s="41" t="str">
        <f>IFERROR(VLOOKUP(D36,Table4[],2,0),"")</f>
        <v/>
      </c>
      <c r="D36" s="18"/>
      <c r="E36" s="28"/>
      <c r="F36" s="33"/>
      <c r="G36" s="44">
        <f t="shared" si="0"/>
        <v>0</v>
      </c>
    </row>
    <row r="37" spans="1:10" ht="12" customHeight="1">
      <c r="A37" s="40" t="str">
        <f t="shared" si="1"/>
        <v/>
      </c>
      <c r="B37" s="23"/>
      <c r="C37" s="41" t="str">
        <f>IFERROR(VLOOKUP(D37,Table4[],2,0),"")</f>
        <v/>
      </c>
      <c r="D37" s="18"/>
      <c r="E37" s="28"/>
      <c r="F37" s="33"/>
      <c r="G37" s="44">
        <f t="shared" si="0"/>
        <v>0</v>
      </c>
    </row>
    <row r="38" spans="1:10" ht="12" customHeight="1">
      <c r="A38" s="40" t="str">
        <f t="shared" si="1"/>
        <v/>
      </c>
      <c r="B38" s="23"/>
      <c r="C38" s="41" t="str">
        <f>IFERROR(VLOOKUP(D38,Table4[],2,0),"")</f>
        <v/>
      </c>
      <c r="D38" s="18"/>
      <c r="E38" s="28"/>
      <c r="F38" s="33"/>
      <c r="G38" s="44">
        <f t="shared" si="0"/>
        <v>0</v>
      </c>
    </row>
    <row r="39" spans="1:10" ht="12" customHeight="1">
      <c r="A39" s="40" t="str">
        <f t="shared" si="1"/>
        <v/>
      </c>
      <c r="B39" s="23"/>
      <c r="C39" s="41" t="str">
        <f>IFERROR(VLOOKUP(D39,Table4[],2,0),"")</f>
        <v/>
      </c>
      <c r="D39" s="18"/>
      <c r="E39" s="28"/>
      <c r="F39" s="33"/>
      <c r="G39" s="44">
        <f t="shared" si="0"/>
        <v>0</v>
      </c>
    </row>
    <row r="40" spans="1:10" ht="12" customHeight="1">
      <c r="A40" s="40" t="str">
        <f t="shared" si="1"/>
        <v/>
      </c>
      <c r="B40" s="23"/>
      <c r="C40" s="41" t="str">
        <f>IFERROR(VLOOKUP(D40,Table4[],2,0),"")</f>
        <v/>
      </c>
      <c r="D40" s="18"/>
      <c r="E40" s="28"/>
      <c r="F40" s="33"/>
      <c r="G40" s="44">
        <f t="shared" si="0"/>
        <v>0</v>
      </c>
    </row>
    <row r="41" spans="1:10" ht="12" customHeight="1">
      <c r="A41" s="40" t="str">
        <f t="shared" si="1"/>
        <v/>
      </c>
      <c r="B41" s="23"/>
      <c r="C41" s="41" t="str">
        <f>IFERROR(VLOOKUP(D41,Table4[],2,0),"")</f>
        <v/>
      </c>
      <c r="D41" s="18"/>
      <c r="E41" s="28"/>
      <c r="F41" s="33"/>
      <c r="G41" s="44">
        <f t="shared" si="0"/>
        <v>0</v>
      </c>
    </row>
    <row r="42" spans="1:10" ht="12" customHeight="1">
      <c r="A42" s="40" t="str">
        <f t="shared" si="1"/>
        <v/>
      </c>
      <c r="B42" s="23"/>
      <c r="C42" s="41" t="str">
        <f>IFERROR(VLOOKUP(D42,Table4[],2,0),"")</f>
        <v/>
      </c>
      <c r="D42" s="18"/>
      <c r="E42" s="28"/>
      <c r="F42" s="33"/>
      <c r="G42" s="44">
        <f t="shared" si="0"/>
        <v>0</v>
      </c>
    </row>
    <row r="43" spans="1:10" ht="12" customHeight="1">
      <c r="A43" s="40" t="str">
        <f t="shared" si="1"/>
        <v/>
      </c>
      <c r="B43" s="23"/>
      <c r="C43" s="41" t="str">
        <f>IFERROR(VLOOKUP(D43,Table4[],2,0),"")</f>
        <v/>
      </c>
      <c r="D43" s="18"/>
      <c r="E43" s="28"/>
      <c r="F43" s="33"/>
      <c r="G43" s="44">
        <f t="shared" si="0"/>
        <v>0</v>
      </c>
    </row>
    <row r="44" spans="1:10" ht="12" customHeight="1">
      <c r="A44" s="40" t="str">
        <f t="shared" si="1"/>
        <v/>
      </c>
      <c r="B44" s="23"/>
      <c r="C44" s="41" t="str">
        <f>IFERROR(VLOOKUP(D44,Table4[],2,0),"")</f>
        <v/>
      </c>
      <c r="D44" s="18"/>
      <c r="E44" s="28"/>
      <c r="F44" s="33"/>
      <c r="G44" s="44">
        <f t="shared" si="0"/>
        <v>0</v>
      </c>
    </row>
    <row r="45" spans="1:10" ht="12" customHeight="1">
      <c r="A45" s="40" t="str">
        <f t="shared" si="1"/>
        <v/>
      </c>
      <c r="B45" s="23"/>
      <c r="C45" s="41" t="str">
        <f>IFERROR(VLOOKUP(D45,Table4[],2,0),"")</f>
        <v/>
      </c>
      <c r="D45" s="18"/>
      <c r="E45" s="28"/>
      <c r="F45" s="33"/>
      <c r="G45" s="44">
        <f t="shared" si="0"/>
        <v>0</v>
      </c>
    </row>
    <row r="46" spans="1:10" ht="12" customHeight="1">
      <c r="A46" s="40" t="str">
        <f t="shared" si="1"/>
        <v/>
      </c>
      <c r="B46" s="23"/>
      <c r="C46" s="41" t="str">
        <f>IFERROR(VLOOKUP(D46,Table4[],2,0),"")</f>
        <v/>
      </c>
      <c r="D46" s="18"/>
      <c r="E46" s="28"/>
      <c r="F46" s="33"/>
      <c r="G46" s="44">
        <f t="shared" si="0"/>
        <v>0</v>
      </c>
    </row>
    <row r="47" spans="1:10" ht="12" customHeight="1">
      <c r="A47" s="40" t="str">
        <f t="shared" si="1"/>
        <v/>
      </c>
      <c r="B47" s="24"/>
      <c r="C47" s="42" t="str">
        <f>IFERROR(VLOOKUP(D47,Table4[],2,0),"")</f>
        <v/>
      </c>
      <c r="D47" s="19"/>
      <c r="E47" s="29"/>
      <c r="F47" s="34"/>
      <c r="G47" s="44">
        <f t="shared" si="0"/>
        <v>0</v>
      </c>
    </row>
    <row r="48" spans="1:10" ht="10.199999999999999" customHeight="1">
      <c r="A48" s="13"/>
      <c r="B48" s="9" t="s">
        <v>25</v>
      </c>
      <c r="E48" s="54" t="s">
        <v>39</v>
      </c>
      <c r="F48" s="14"/>
      <c r="G48" s="43">
        <f>SUM(G11:G47)</f>
        <v>2500</v>
      </c>
    </row>
    <row r="49" spans="1:11" ht="11.4" customHeight="1" thickBot="1">
      <c r="A49" s="15"/>
      <c r="D49" s="31" t="s">
        <v>10</v>
      </c>
      <c r="E49" s="35"/>
      <c r="F49" s="16"/>
      <c r="G49" s="45">
        <f>E49*G48/100</f>
        <v>0</v>
      </c>
    </row>
    <row r="50" spans="1:11" ht="12" customHeight="1">
      <c r="A50" s="73" t="s">
        <v>15</v>
      </c>
      <c r="B50" s="74"/>
      <c r="C50" s="66"/>
      <c r="D50" s="66"/>
      <c r="E50" s="52"/>
      <c r="F50" s="67"/>
      <c r="G50" s="68">
        <f>ROUND(G48+G49,0)</f>
        <v>2500</v>
      </c>
    </row>
    <row r="51" spans="1:11" ht="12" customHeight="1">
      <c r="A51" s="75"/>
      <c r="B51" s="76"/>
      <c r="C51" s="36"/>
      <c r="D51" s="37"/>
      <c r="E51" s="36"/>
      <c r="F51" s="36"/>
      <c r="G51" s="36"/>
    </row>
    <row r="52" spans="1:11" hidden="1">
      <c r="A52" s="15"/>
      <c r="K52" s="38"/>
    </row>
    <row r="53" spans="1:11" hidden="1">
      <c r="A53" s="15"/>
      <c r="J53" s="51"/>
    </row>
  </sheetData>
  <sheetProtection sheet="1" objects="1" scenarios="1"/>
  <mergeCells count="18">
    <mergeCell ref="A2:G3"/>
    <mergeCell ref="E5:G6"/>
    <mergeCell ref="B5:D5"/>
    <mergeCell ref="B6:D6"/>
    <mergeCell ref="G9:G10"/>
    <mergeCell ref="A9:A10"/>
    <mergeCell ref="B9:B10"/>
    <mergeCell ref="C9:C10"/>
    <mergeCell ref="D9:D10"/>
    <mergeCell ref="A4:D4"/>
    <mergeCell ref="E4:F4"/>
    <mergeCell ref="E9:E10"/>
    <mergeCell ref="A8:B8"/>
    <mergeCell ref="C8:D8"/>
    <mergeCell ref="B7:D7"/>
    <mergeCell ref="F9:F10"/>
    <mergeCell ref="A50:B50"/>
    <mergeCell ref="A51:B51"/>
  </mergeCells>
  <dataValidations count="3">
    <dataValidation type="list" allowBlank="1" showInputMessage="1" showErrorMessage="1" sqref="B5:D5" xr:uid="{00000000-0002-0000-0000-000000000000}">
      <formula1>partyname</formula1>
    </dataValidation>
    <dataValidation type="list" allowBlank="1" showInputMessage="1" showErrorMessage="1" sqref="D11:D47" xr:uid="{00000000-0002-0000-0000-000001000000}">
      <formula1>itemname</formula1>
    </dataValidation>
    <dataValidation type="list" allowBlank="1" showInputMessage="1" showErrorMessage="1" sqref="C8:D8" xr:uid="{00000000-0002-0000-0000-000002000000}">
      <formula1>transportname</formula1>
    </dataValidation>
  </dataValidations>
  <pageMargins left="0" right="0" top="0" bottom="0" header="0.196850393700787" footer="0.196850393700787"/>
  <pageSetup paperSize="11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aveInvoiceAsPdf">
                <anchor moveWithCells="1" sizeWithCells="1">
                  <from>
                    <xdr:col>7</xdr:col>
                    <xdr:colOff>289560</xdr:colOff>
                    <xdr:row>18</xdr:row>
                    <xdr:rowOff>144780</xdr:rowOff>
                  </from>
                  <to>
                    <xdr:col>10</xdr:col>
                    <xdr:colOff>525780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ClearContentssss">
                <anchor moveWithCells="1" sizeWithCells="1">
                  <from>
                    <xdr:col>7</xdr:col>
                    <xdr:colOff>327660</xdr:colOff>
                    <xdr:row>26</xdr:row>
                    <xdr:rowOff>22860</xdr:rowOff>
                  </from>
                  <to>
                    <xdr:col>11</xdr:col>
                    <xdr:colOff>53340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PrintInvoiceA5">
                <anchor moveWithCells="1" sizeWithCells="1">
                  <from>
                    <xdr:col>7</xdr:col>
                    <xdr:colOff>289560</xdr:colOff>
                    <xdr:row>14</xdr:row>
                    <xdr:rowOff>76200</xdr:rowOff>
                  </from>
                  <to>
                    <xdr:col>10</xdr:col>
                    <xdr:colOff>525780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Button7_Click">
                <anchor moveWithCells="1" sizeWithCells="1">
                  <from>
                    <xdr:col>7</xdr:col>
                    <xdr:colOff>289560</xdr:colOff>
                    <xdr:row>12</xdr:row>
                    <xdr:rowOff>76200</xdr:rowOff>
                  </from>
                  <to>
                    <xdr:col>10</xdr:col>
                    <xdr:colOff>525780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autoFill="0" autoPict="0" macro="[0]!item">
                <anchor moveWithCells="1" sizeWithCells="1">
                  <from>
                    <xdr:col>7</xdr:col>
                    <xdr:colOff>281940</xdr:colOff>
                    <xdr:row>10</xdr:row>
                    <xdr:rowOff>38100</xdr:rowOff>
                  </from>
                  <to>
                    <xdr:col>10</xdr:col>
                    <xdr:colOff>525780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Module7.Button10_Click">
                <anchor moveWithCells="1" sizeWithCells="1">
                  <from>
                    <xdr:col>7</xdr:col>
                    <xdr:colOff>281940</xdr:colOff>
                    <xdr:row>6</xdr:row>
                    <xdr:rowOff>68580</xdr:rowOff>
                  </from>
                  <to>
                    <xdr:col>10</xdr:col>
                    <xdr:colOff>518160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autoFill="0" autoPict="0" macro="[0]!Saveinvoiceexcel">
                <anchor moveWithCells="1" sizeWithCells="1">
                  <from>
                    <xdr:col>7</xdr:col>
                    <xdr:colOff>304800</xdr:colOff>
                    <xdr:row>16</xdr:row>
                    <xdr:rowOff>114300</xdr:rowOff>
                  </from>
                  <to>
                    <xdr:col>11</xdr:col>
                    <xdr:colOff>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autoFill="0" autoPict="0" macro="[0]!Nextinvoicenumber">
                <anchor moveWithCells="1" sizeWithCells="1">
                  <from>
                    <xdr:col>7</xdr:col>
                    <xdr:colOff>335280</xdr:colOff>
                    <xdr:row>23</xdr:row>
                    <xdr:rowOff>114300</xdr:rowOff>
                  </from>
                  <to>
                    <xdr:col>11</xdr:col>
                    <xdr:colOff>38100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autoFill="0" autoPict="0" macro="[0]!Recordofinvoice">
                <anchor moveWithCells="1" sizeWithCells="1">
                  <from>
                    <xdr:col>7</xdr:col>
                    <xdr:colOff>327660</xdr:colOff>
                    <xdr:row>21</xdr:row>
                    <xdr:rowOff>60960</xdr:rowOff>
                  </from>
                  <to>
                    <xdr:col>11</xdr:col>
                    <xdr:colOff>30480</xdr:colOff>
                    <xdr:row>23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12"/>
  <sheetViews>
    <sheetView zoomScale="106" zoomScaleNormal="106" workbookViewId="0">
      <selection activeCell="E5" sqref="E5"/>
    </sheetView>
  </sheetViews>
  <sheetFormatPr defaultRowHeight="14.4"/>
  <cols>
    <col min="1" max="1" width="59.21875" customWidth="1"/>
    <col min="2" max="2" width="25.77734375" customWidth="1"/>
    <col min="3" max="3" width="34.77734375" customWidth="1"/>
    <col min="5" max="5" width="14" bestFit="1" customWidth="1"/>
  </cols>
  <sheetData>
    <row r="1" spans="1:6" ht="28.8">
      <c r="A1" s="64" t="s">
        <v>38</v>
      </c>
      <c r="B1" s="63"/>
      <c r="C1" s="63"/>
    </row>
    <row r="2" spans="1:6" ht="23.4">
      <c r="A2" s="1" t="s">
        <v>4</v>
      </c>
      <c r="B2" s="1" t="s">
        <v>3</v>
      </c>
      <c r="C2" s="1" t="s">
        <v>36</v>
      </c>
    </row>
    <row r="3" spans="1:6" ht="23.4">
      <c r="A3" s="1"/>
      <c r="B3" s="1"/>
      <c r="C3" s="1"/>
    </row>
    <row r="4" spans="1:6" ht="23.4">
      <c r="A4" s="1" t="s">
        <v>45</v>
      </c>
      <c r="B4" s="1">
        <v>423324984</v>
      </c>
      <c r="C4" s="1"/>
    </row>
    <row r="5" spans="1:6" ht="23.4">
      <c r="A5" s="1" t="s">
        <v>46</v>
      </c>
      <c r="B5" s="1">
        <v>451491551</v>
      </c>
      <c r="C5" s="1"/>
    </row>
    <row r="6" spans="1:6" ht="23.4">
      <c r="A6" s="1"/>
      <c r="B6" s="1"/>
      <c r="C6" s="1"/>
    </row>
    <row r="7" spans="1:6" ht="23.4">
      <c r="A7" s="1"/>
      <c r="B7" s="1"/>
      <c r="C7" s="1"/>
    </row>
    <row r="8" spans="1:6" ht="23.4">
      <c r="A8" s="1"/>
      <c r="B8" s="1"/>
      <c r="C8" s="1"/>
    </row>
    <row r="9" spans="1:6" ht="23.4">
      <c r="A9" s="1"/>
      <c r="B9" s="1"/>
      <c r="C9" s="1"/>
    </row>
    <row r="10" spans="1:6" ht="23.4">
      <c r="A10" s="1"/>
      <c r="B10" s="1"/>
      <c r="C10" s="1"/>
    </row>
    <row r="11" spans="1:6" ht="23.4">
      <c r="A11" s="1"/>
      <c r="B11" s="1"/>
      <c r="C11" s="1"/>
    </row>
    <row r="12" spans="1:6" ht="23.4">
      <c r="A12" s="1"/>
      <c r="B12" s="1"/>
      <c r="C12" s="1"/>
      <c r="F12" t="s">
        <v>16</v>
      </c>
    </row>
    <row r="13" spans="1:6" ht="23.4">
      <c r="A13" s="1"/>
      <c r="B13" s="1"/>
      <c r="C13" s="1"/>
    </row>
    <row r="14" spans="1:6" ht="23.4">
      <c r="A14" s="1"/>
      <c r="B14" s="1"/>
      <c r="C14" s="1"/>
    </row>
    <row r="15" spans="1:6" ht="23.4">
      <c r="A15" s="1"/>
      <c r="B15" s="1"/>
      <c r="C15" s="1"/>
    </row>
    <row r="16" spans="1:6" ht="23.4">
      <c r="A16" s="1"/>
      <c r="B16" s="1"/>
      <c r="C16" s="1"/>
    </row>
    <row r="17" spans="1:4" ht="23.4">
      <c r="A17" s="1"/>
      <c r="B17" s="1"/>
      <c r="C17" s="1"/>
    </row>
    <row r="18" spans="1:4" ht="23.4">
      <c r="A18" s="1"/>
      <c r="B18" s="1"/>
      <c r="C18" s="1"/>
    </row>
    <row r="19" spans="1:4" ht="23.4">
      <c r="A19" s="1"/>
      <c r="B19" s="1"/>
      <c r="C19" s="1"/>
      <c r="D19" s="1"/>
    </row>
    <row r="20" spans="1:4" ht="23.4">
      <c r="A20" s="1"/>
      <c r="B20" s="1"/>
      <c r="C20" s="1"/>
    </row>
    <row r="21" spans="1:4" ht="23.4">
      <c r="A21" s="1"/>
      <c r="B21" s="1"/>
      <c r="C21" s="1"/>
    </row>
    <row r="22" spans="1:4" ht="23.4">
      <c r="A22" s="1"/>
      <c r="B22" s="1"/>
      <c r="C22" s="1"/>
    </row>
    <row r="23" spans="1:4" ht="23.4">
      <c r="A23" s="1"/>
      <c r="B23" s="1"/>
      <c r="C23" s="1"/>
    </row>
    <row r="24" spans="1:4" ht="23.4">
      <c r="A24" s="1"/>
      <c r="B24" s="1"/>
      <c r="C24" s="1"/>
    </row>
    <row r="25" spans="1:4" ht="23.4">
      <c r="A25" s="1"/>
      <c r="B25" s="1"/>
      <c r="C25" s="1"/>
    </row>
    <row r="26" spans="1:4" ht="23.4">
      <c r="A26" s="1"/>
      <c r="B26" s="1"/>
      <c r="C26" s="1"/>
    </row>
    <row r="27" spans="1:4" ht="23.4">
      <c r="A27" s="1"/>
      <c r="B27" s="1"/>
      <c r="C27" s="1"/>
    </row>
    <row r="28" spans="1:4" ht="23.4">
      <c r="A28" s="1"/>
      <c r="B28" s="1"/>
      <c r="C28" s="1"/>
    </row>
    <row r="29" spans="1:4" ht="23.4">
      <c r="A29" s="1"/>
      <c r="B29" s="1"/>
      <c r="C29" s="1"/>
    </row>
    <row r="30" spans="1:4" ht="23.4">
      <c r="A30" s="1"/>
      <c r="B30" s="1"/>
      <c r="C30" s="1"/>
    </row>
    <row r="31" spans="1:4" ht="23.4">
      <c r="A31" s="1"/>
      <c r="B31" s="1"/>
      <c r="C31" s="1"/>
    </row>
    <row r="32" spans="1:4" ht="23.4">
      <c r="A32" s="55"/>
      <c r="B32" s="55"/>
      <c r="C32" s="1"/>
    </row>
    <row r="33" spans="1:3" ht="23.4">
      <c r="A33" s="1"/>
      <c r="B33" s="1"/>
      <c r="C33" s="1"/>
    </row>
    <row r="34" spans="1:3" ht="23.4">
      <c r="A34" s="1"/>
      <c r="B34" s="1"/>
      <c r="C34" s="1"/>
    </row>
    <row r="35" spans="1:3" ht="23.4">
      <c r="A35" s="1"/>
      <c r="B35" s="1"/>
      <c r="C35" s="1"/>
    </row>
    <row r="36" spans="1:3" ht="23.4">
      <c r="A36" s="1"/>
      <c r="B36" s="1"/>
      <c r="C36" s="1"/>
    </row>
    <row r="37" spans="1:3" ht="23.4">
      <c r="A37" s="1"/>
      <c r="B37" s="1"/>
      <c r="C37" s="1"/>
    </row>
    <row r="38" spans="1:3" ht="23.4">
      <c r="A38" s="1"/>
      <c r="B38" s="1"/>
      <c r="C38" s="1"/>
    </row>
    <row r="39" spans="1:3" ht="23.4">
      <c r="A39" s="1"/>
      <c r="B39" s="1"/>
      <c r="C39" s="1"/>
    </row>
    <row r="40" spans="1:3" ht="23.4">
      <c r="A40" s="1"/>
      <c r="B40" s="1"/>
      <c r="C40" s="1"/>
    </row>
    <row r="41" spans="1:3" ht="23.4">
      <c r="A41" s="1"/>
      <c r="B41" s="1"/>
      <c r="C41" s="1"/>
    </row>
    <row r="42" spans="1:3" ht="23.4">
      <c r="A42" s="1"/>
      <c r="B42" s="1"/>
      <c r="C42" s="1"/>
    </row>
    <row r="43" spans="1:3" ht="23.4">
      <c r="A43" s="1"/>
      <c r="B43" s="1"/>
      <c r="C43" s="1"/>
    </row>
    <row r="44" spans="1:3" ht="23.4">
      <c r="A44" s="1"/>
      <c r="B44" s="1"/>
      <c r="C44" s="1"/>
    </row>
    <row r="45" spans="1:3" ht="23.4">
      <c r="A45" s="1"/>
      <c r="B45" s="1"/>
      <c r="C45" s="1"/>
    </row>
    <row r="46" spans="1:3" ht="23.4">
      <c r="A46" s="1"/>
      <c r="B46" s="1"/>
      <c r="C46" s="1"/>
    </row>
    <row r="47" spans="1:3" ht="23.4">
      <c r="A47" s="1"/>
      <c r="B47" s="1"/>
      <c r="C47" s="1"/>
    </row>
    <row r="48" spans="1:3" ht="23.4">
      <c r="A48" s="1"/>
      <c r="B48" s="1"/>
      <c r="C48" s="1"/>
    </row>
    <row r="49" spans="1:5" ht="23.4">
      <c r="A49" s="1"/>
      <c r="B49" s="1"/>
      <c r="C49" s="1"/>
      <c r="E49" t="s">
        <v>16</v>
      </c>
    </row>
    <row r="50" spans="1:5" ht="23.4">
      <c r="A50" s="1"/>
      <c r="B50" s="1"/>
      <c r="C50" s="1"/>
    </row>
    <row r="51" spans="1:5" ht="23.4">
      <c r="A51" s="1"/>
      <c r="B51" s="1"/>
      <c r="C51" s="1"/>
    </row>
    <row r="52" spans="1:5" ht="23.4">
      <c r="A52" s="1"/>
      <c r="B52" s="1"/>
      <c r="C52" s="1"/>
    </row>
    <row r="53" spans="1:5" ht="23.4">
      <c r="A53" s="1"/>
      <c r="B53" s="1"/>
      <c r="C53" s="1"/>
    </row>
    <row r="54" spans="1:5" ht="23.4">
      <c r="A54" s="1"/>
      <c r="B54" s="1"/>
      <c r="C54" s="1"/>
    </row>
    <row r="55" spans="1:5" ht="23.4">
      <c r="A55" s="1"/>
      <c r="B55" s="1"/>
      <c r="C55" s="1"/>
    </row>
    <row r="56" spans="1:5" ht="23.4">
      <c r="A56" s="1"/>
      <c r="B56" s="1"/>
      <c r="C56" s="1"/>
      <c r="D56" t="s">
        <v>16</v>
      </c>
    </row>
    <row r="57" spans="1:5" ht="23.4">
      <c r="A57" s="1"/>
      <c r="B57" s="1"/>
      <c r="C57" s="1"/>
    </row>
    <row r="58" spans="1:5" ht="23.4">
      <c r="A58" s="1"/>
      <c r="B58" s="1"/>
      <c r="C58" s="1"/>
    </row>
    <row r="59" spans="1:5" ht="23.4">
      <c r="A59" s="1"/>
      <c r="B59" s="1"/>
      <c r="C59" s="1"/>
      <c r="D59" t="s">
        <v>16</v>
      </c>
    </row>
    <row r="60" spans="1:5" ht="23.4">
      <c r="A60" s="1"/>
      <c r="B60" s="1"/>
      <c r="C60" s="1"/>
    </row>
    <row r="61" spans="1:5" ht="23.4">
      <c r="A61" s="1"/>
      <c r="B61" s="1"/>
      <c r="C61" s="1"/>
    </row>
    <row r="62" spans="1:5" ht="23.4">
      <c r="A62" s="1"/>
      <c r="B62" s="1"/>
      <c r="C62" s="1"/>
    </row>
    <row r="63" spans="1:5" ht="23.4">
      <c r="A63" s="1"/>
      <c r="B63" s="1"/>
      <c r="C63" s="1"/>
    </row>
    <row r="64" spans="1:5" ht="23.4">
      <c r="A64" s="1"/>
      <c r="B64" s="1"/>
      <c r="C64" s="1"/>
    </row>
    <row r="65" spans="1:3" ht="23.4">
      <c r="A65" s="1"/>
      <c r="B65" s="5"/>
      <c r="C65" s="1"/>
    </row>
    <row r="66" spans="1:3" ht="23.4">
      <c r="A66" s="1"/>
      <c r="B66" s="1"/>
      <c r="C66" s="1"/>
    </row>
    <row r="67" spans="1:3" ht="23.4">
      <c r="A67" s="1"/>
      <c r="B67" s="1"/>
      <c r="C67" s="1"/>
    </row>
    <row r="68" spans="1:3" ht="23.4">
      <c r="A68" s="1"/>
      <c r="B68" s="1"/>
      <c r="C68" s="1"/>
    </row>
    <row r="69" spans="1:3" ht="23.4">
      <c r="A69" s="1"/>
      <c r="B69" s="1"/>
      <c r="C69" s="1"/>
    </row>
    <row r="70" spans="1:3" ht="23.4">
      <c r="A70" s="1"/>
      <c r="B70" s="1"/>
      <c r="C70" s="1"/>
    </row>
    <row r="71" spans="1:3" ht="23.4">
      <c r="A71" s="1"/>
      <c r="B71" s="1"/>
      <c r="C71" s="1"/>
    </row>
    <row r="72" spans="1:3" ht="23.4">
      <c r="A72" s="1"/>
      <c r="B72" s="1"/>
      <c r="C72" s="1"/>
    </row>
    <row r="73" spans="1:3" ht="23.4">
      <c r="A73" s="1"/>
      <c r="B73" s="1"/>
      <c r="C73" s="1"/>
    </row>
    <row r="74" spans="1:3" ht="23.4">
      <c r="A74" s="1"/>
      <c r="B74" s="1"/>
      <c r="C74" s="1"/>
    </row>
    <row r="75" spans="1:3" ht="23.4">
      <c r="A75" s="1"/>
      <c r="B75" s="1"/>
      <c r="C75" s="1"/>
    </row>
    <row r="76" spans="1:3" ht="23.4">
      <c r="A76" s="1"/>
      <c r="B76" s="1"/>
      <c r="C76" s="1"/>
    </row>
    <row r="77" spans="1:3" ht="23.4">
      <c r="A77" s="1"/>
      <c r="B77" s="1"/>
      <c r="C77" s="1"/>
    </row>
    <row r="78" spans="1:3" ht="23.4">
      <c r="A78" s="1"/>
      <c r="B78" s="1"/>
      <c r="C78" s="1"/>
    </row>
    <row r="79" spans="1:3" ht="23.4">
      <c r="A79" s="1"/>
      <c r="B79" s="1"/>
      <c r="C79" s="1"/>
    </row>
    <row r="80" spans="1:3" ht="23.4">
      <c r="A80" s="1"/>
      <c r="B80" s="1"/>
      <c r="C80" s="1"/>
    </row>
    <row r="81" spans="1:3" ht="23.4">
      <c r="A81" s="1"/>
      <c r="B81" s="1"/>
      <c r="C81" s="1"/>
    </row>
    <row r="82" spans="1:3" ht="23.4">
      <c r="A82" s="1"/>
      <c r="B82" s="1"/>
      <c r="C82" s="1"/>
    </row>
    <row r="83" spans="1:3" ht="23.4">
      <c r="A83" s="1"/>
      <c r="B83" s="1"/>
      <c r="C83" s="1"/>
    </row>
    <row r="84" spans="1:3" ht="23.4">
      <c r="A84" s="1"/>
      <c r="B84" s="1"/>
      <c r="C84" s="1"/>
    </row>
    <row r="85" spans="1:3" ht="23.4">
      <c r="A85" s="1"/>
      <c r="B85" s="1"/>
      <c r="C85" s="1"/>
    </row>
    <row r="86" spans="1:3" ht="23.4">
      <c r="A86" s="1"/>
      <c r="B86" s="1"/>
      <c r="C86" s="1"/>
    </row>
    <row r="87" spans="1:3" ht="23.4">
      <c r="A87" s="1"/>
      <c r="B87" s="1"/>
      <c r="C87" s="1"/>
    </row>
    <row r="88" spans="1:3" ht="23.4">
      <c r="A88" s="1"/>
      <c r="B88" s="1"/>
      <c r="C88" s="1"/>
    </row>
    <row r="89" spans="1:3" ht="23.4">
      <c r="A89" s="1"/>
      <c r="B89" s="1"/>
      <c r="C89" s="1"/>
    </row>
    <row r="90" spans="1:3" ht="23.4">
      <c r="A90" s="1"/>
      <c r="B90" s="1"/>
      <c r="C90" s="1"/>
    </row>
    <row r="91" spans="1:3" ht="23.4">
      <c r="A91" s="1"/>
      <c r="B91" s="1"/>
      <c r="C91" s="1"/>
    </row>
    <row r="92" spans="1:3" ht="23.4">
      <c r="A92" s="1"/>
      <c r="B92" s="1"/>
      <c r="C92" s="1"/>
    </row>
    <row r="93" spans="1:3" ht="23.4">
      <c r="A93" s="1"/>
      <c r="B93" s="1"/>
      <c r="C93" s="1"/>
    </row>
    <row r="94" spans="1:3" ht="23.4">
      <c r="A94" s="1"/>
      <c r="B94" s="1"/>
      <c r="C94" s="1"/>
    </row>
    <row r="95" spans="1:3" ht="23.4">
      <c r="A95" s="1"/>
      <c r="B95" s="1"/>
      <c r="C95" s="1"/>
    </row>
    <row r="96" spans="1:3" ht="23.4">
      <c r="A96" s="1"/>
      <c r="B96" s="1"/>
      <c r="C96" s="1"/>
    </row>
    <row r="97" spans="1:3" ht="23.4">
      <c r="A97" s="1"/>
      <c r="B97" s="1"/>
      <c r="C97" s="1"/>
    </row>
    <row r="98" spans="1:3" ht="23.4">
      <c r="A98" s="1"/>
      <c r="B98" s="1"/>
      <c r="C98" s="1"/>
    </row>
    <row r="99" spans="1:3" ht="23.4">
      <c r="A99" s="1"/>
      <c r="B99" s="1"/>
      <c r="C99" s="1"/>
    </row>
    <row r="100" spans="1:3" ht="23.4">
      <c r="A100" s="1"/>
      <c r="B100" s="1"/>
      <c r="C100" s="1"/>
    </row>
    <row r="101" spans="1:3" ht="23.4">
      <c r="A101" s="1"/>
      <c r="B101" s="1"/>
      <c r="C101" s="1"/>
    </row>
    <row r="102" spans="1:3" ht="23.4">
      <c r="A102" s="1"/>
      <c r="B102" s="1"/>
      <c r="C102" s="1"/>
    </row>
    <row r="103" spans="1:3" ht="23.4">
      <c r="A103" s="1"/>
      <c r="B103" s="1"/>
      <c r="C103" s="1"/>
    </row>
    <row r="104" spans="1:3" ht="23.4">
      <c r="A104" s="1"/>
      <c r="B104" s="1"/>
      <c r="C104" s="1"/>
    </row>
    <row r="105" spans="1:3" ht="23.4">
      <c r="A105" s="1"/>
      <c r="B105" s="1"/>
      <c r="C105" s="1"/>
    </row>
    <row r="106" spans="1:3" ht="23.4">
      <c r="A106" s="1"/>
      <c r="B106" s="1"/>
      <c r="C106" s="1"/>
    </row>
    <row r="107" spans="1:3" ht="23.4">
      <c r="A107" s="1"/>
      <c r="B107" s="1"/>
      <c r="C107" s="1"/>
    </row>
    <row r="108" spans="1:3" ht="23.4">
      <c r="A108" s="1"/>
      <c r="B108" s="1"/>
      <c r="C108" s="1"/>
    </row>
    <row r="109" spans="1:3" ht="23.4">
      <c r="A109" s="1"/>
      <c r="B109" s="1"/>
      <c r="C109" s="1"/>
    </row>
    <row r="110" spans="1:3" ht="23.4">
      <c r="A110" s="1"/>
      <c r="B110" s="1"/>
      <c r="C110" s="1"/>
    </row>
    <row r="111" spans="1:3" ht="23.4">
      <c r="A111" s="1"/>
      <c r="B111" s="1"/>
      <c r="C111" s="1"/>
    </row>
    <row r="112" spans="1:3" ht="23.4">
      <c r="A112" s="55"/>
      <c r="B112" s="55"/>
      <c r="C112" s="1"/>
    </row>
    <row r="113" spans="1:3" ht="23.4">
      <c r="A113" s="1"/>
      <c r="B113" s="1"/>
      <c r="C113" s="1"/>
    </row>
    <row r="114" spans="1:3" ht="23.4">
      <c r="A114" s="1"/>
      <c r="B114" s="1"/>
      <c r="C114" s="1"/>
    </row>
    <row r="115" spans="1:3" ht="23.4">
      <c r="A115" s="1"/>
      <c r="B115" s="1"/>
      <c r="C115" s="1"/>
    </row>
    <row r="116" spans="1:3" ht="23.4">
      <c r="A116" s="1"/>
      <c r="B116" s="1"/>
      <c r="C116" s="1"/>
    </row>
    <row r="117" spans="1:3" ht="23.4">
      <c r="A117" s="1"/>
      <c r="B117" s="1"/>
      <c r="C117" s="1"/>
    </row>
    <row r="118" spans="1:3" ht="23.4">
      <c r="A118" s="1"/>
      <c r="B118" s="1"/>
      <c r="C118" s="1"/>
    </row>
    <row r="119" spans="1:3" ht="23.4">
      <c r="A119" s="1"/>
      <c r="B119" s="1"/>
      <c r="C119" s="1"/>
    </row>
    <row r="120" spans="1:3" ht="23.4">
      <c r="A120" s="1"/>
      <c r="B120" s="1"/>
      <c r="C120" s="1"/>
    </row>
    <row r="121" spans="1:3" ht="23.4">
      <c r="A121" s="1"/>
      <c r="B121" s="1"/>
      <c r="C121" s="1"/>
    </row>
    <row r="122" spans="1:3" ht="23.4">
      <c r="A122" s="1"/>
      <c r="B122" s="1"/>
      <c r="C122" s="1"/>
    </row>
    <row r="123" spans="1:3" ht="23.4">
      <c r="A123" s="1"/>
      <c r="B123" s="1"/>
      <c r="C123" s="1"/>
    </row>
    <row r="124" spans="1:3" ht="23.4">
      <c r="A124" s="1"/>
      <c r="B124" s="1"/>
      <c r="C124" s="1"/>
    </row>
    <row r="125" spans="1:3" ht="23.4">
      <c r="A125" s="1"/>
      <c r="B125" s="1"/>
      <c r="C125" s="1"/>
    </row>
    <row r="126" spans="1:3" ht="23.4">
      <c r="A126" s="1"/>
      <c r="B126" s="1"/>
      <c r="C126" s="1"/>
    </row>
    <row r="127" spans="1:3" ht="23.4">
      <c r="A127" s="1"/>
      <c r="B127" s="1"/>
      <c r="C127" s="1"/>
    </row>
    <row r="128" spans="1:3" ht="23.4">
      <c r="A128" s="1"/>
      <c r="B128" s="1"/>
      <c r="C128" s="1"/>
    </row>
    <row r="129" spans="1:3" ht="23.4">
      <c r="A129" s="1"/>
      <c r="B129" s="1"/>
      <c r="C129" s="1"/>
    </row>
    <row r="130" spans="1:3" ht="23.4">
      <c r="A130" s="1"/>
      <c r="B130" s="1"/>
      <c r="C130" s="1"/>
    </row>
    <row r="131" spans="1:3" ht="23.4">
      <c r="A131" s="1"/>
      <c r="B131" s="1"/>
      <c r="C131" s="1"/>
    </row>
    <row r="132" spans="1:3" ht="23.4">
      <c r="A132" s="1"/>
      <c r="B132" s="1"/>
      <c r="C132" s="1"/>
    </row>
    <row r="133" spans="1:3" ht="23.4">
      <c r="A133" s="1"/>
      <c r="B133" s="1"/>
      <c r="C133" s="1"/>
    </row>
    <row r="134" spans="1:3" ht="23.4">
      <c r="A134" s="1"/>
      <c r="B134" s="1"/>
      <c r="C134" s="1"/>
    </row>
    <row r="135" spans="1:3" ht="23.4">
      <c r="A135" s="1"/>
      <c r="B135" s="1"/>
      <c r="C135" s="1"/>
    </row>
    <row r="136" spans="1:3" ht="23.4">
      <c r="A136" s="1"/>
      <c r="B136" s="1"/>
      <c r="C136" s="1"/>
    </row>
    <row r="137" spans="1:3" ht="23.4">
      <c r="A137" s="1"/>
      <c r="B137" s="1"/>
      <c r="C137" s="1"/>
    </row>
    <row r="138" spans="1:3" ht="23.4">
      <c r="A138" s="1"/>
      <c r="B138" s="1"/>
      <c r="C138" s="1"/>
    </row>
    <row r="139" spans="1:3" ht="23.4">
      <c r="A139" s="1"/>
      <c r="B139" s="1"/>
      <c r="C139" s="1"/>
    </row>
    <row r="140" spans="1:3" ht="23.4">
      <c r="A140" s="1"/>
      <c r="B140" s="1"/>
      <c r="C140" s="1"/>
    </row>
    <row r="141" spans="1:3" ht="23.4">
      <c r="A141" s="1"/>
      <c r="B141" s="1"/>
      <c r="C141" s="1"/>
    </row>
    <row r="142" spans="1:3" ht="23.4">
      <c r="A142" s="1"/>
      <c r="B142" s="1"/>
      <c r="C142" s="1"/>
    </row>
    <row r="143" spans="1:3" ht="23.4">
      <c r="A143" s="1"/>
      <c r="B143" s="1"/>
      <c r="C143" s="1"/>
    </row>
    <row r="144" spans="1:3" ht="23.4">
      <c r="A144" s="1"/>
      <c r="B144" s="1"/>
      <c r="C144" s="1"/>
    </row>
    <row r="145" spans="1:3" ht="23.4">
      <c r="A145" s="1"/>
      <c r="B145" s="1"/>
      <c r="C145" s="1"/>
    </row>
    <row r="146" spans="1:3" ht="23.4">
      <c r="A146" s="1"/>
      <c r="B146" s="1"/>
      <c r="C146" s="1"/>
    </row>
    <row r="147" spans="1:3" ht="23.4">
      <c r="A147" s="1"/>
      <c r="B147" s="1"/>
      <c r="C147" s="1"/>
    </row>
    <row r="148" spans="1:3" ht="23.4">
      <c r="A148" s="1"/>
      <c r="B148" s="1"/>
      <c r="C148" s="1"/>
    </row>
    <row r="149" spans="1:3" ht="23.4">
      <c r="A149" s="1"/>
      <c r="B149" s="1"/>
      <c r="C149" s="1"/>
    </row>
    <row r="150" spans="1:3" ht="23.4">
      <c r="A150" s="1"/>
      <c r="B150" s="1"/>
      <c r="C150" s="1"/>
    </row>
    <row r="151" spans="1:3" ht="23.4">
      <c r="A151" s="1"/>
      <c r="B151" s="1"/>
      <c r="C151" s="1"/>
    </row>
    <row r="152" spans="1:3" ht="23.4">
      <c r="A152" s="20"/>
      <c r="B152" s="20"/>
      <c r="C152" s="1"/>
    </row>
    <row r="153" spans="1:3" ht="23.4">
      <c r="A153" s="1"/>
      <c r="B153" s="1"/>
      <c r="C153" s="1"/>
    </row>
    <row r="154" spans="1:3" ht="23.4">
      <c r="A154" s="1"/>
      <c r="B154" s="1"/>
      <c r="C154" s="1"/>
    </row>
    <row r="155" spans="1:3" ht="23.4">
      <c r="A155" s="1"/>
      <c r="B155" s="1"/>
      <c r="C155" s="1"/>
    </row>
    <row r="156" spans="1:3" ht="23.4">
      <c r="A156" s="1"/>
      <c r="B156" s="1"/>
      <c r="C156" s="1"/>
    </row>
    <row r="157" spans="1:3" ht="23.4">
      <c r="A157" s="1"/>
      <c r="B157" s="1"/>
      <c r="C157" s="1"/>
    </row>
    <row r="158" spans="1:3" ht="23.4">
      <c r="A158" s="1"/>
      <c r="B158" s="1"/>
      <c r="C158" s="1"/>
    </row>
    <row r="159" spans="1:3" ht="23.4">
      <c r="A159" s="1"/>
      <c r="B159" s="1"/>
      <c r="C159" s="1"/>
    </row>
    <row r="160" spans="1:3" ht="23.4">
      <c r="A160" s="1"/>
      <c r="B160" s="1"/>
      <c r="C160" s="1"/>
    </row>
    <row r="161" spans="1:3" ht="23.4">
      <c r="A161" s="1"/>
      <c r="B161" s="1"/>
      <c r="C161" s="1"/>
    </row>
    <row r="162" spans="1:3" ht="23.4">
      <c r="A162" s="1"/>
      <c r="B162" s="1"/>
      <c r="C162" s="1"/>
    </row>
    <row r="163" spans="1:3" ht="23.4">
      <c r="A163" s="1"/>
      <c r="B163" s="1"/>
      <c r="C163" s="1"/>
    </row>
    <row r="164" spans="1:3" ht="23.4">
      <c r="A164" s="1"/>
      <c r="B164" s="1"/>
      <c r="C164" s="1"/>
    </row>
    <row r="165" spans="1:3" ht="23.4">
      <c r="A165" s="1"/>
      <c r="B165" s="1"/>
      <c r="C165" s="1"/>
    </row>
    <row r="166" spans="1:3" ht="23.4">
      <c r="A166" s="1"/>
      <c r="B166" s="1"/>
      <c r="C166" s="1"/>
    </row>
    <row r="167" spans="1:3" ht="23.4">
      <c r="A167" s="1"/>
      <c r="B167" s="1"/>
      <c r="C167" s="1"/>
    </row>
    <row r="168" spans="1:3" ht="23.4">
      <c r="A168" s="1"/>
      <c r="B168" s="1"/>
      <c r="C168" s="1"/>
    </row>
    <row r="169" spans="1:3" ht="23.4">
      <c r="A169" s="1"/>
      <c r="B169" s="1"/>
      <c r="C169" s="1"/>
    </row>
    <row r="170" spans="1:3" ht="23.4">
      <c r="A170" s="1"/>
      <c r="B170" s="1"/>
      <c r="C170" s="1"/>
    </row>
    <row r="171" spans="1:3" ht="23.4">
      <c r="A171" s="1"/>
      <c r="B171" s="1"/>
      <c r="C171" s="1"/>
    </row>
    <row r="172" spans="1:3" ht="23.4">
      <c r="A172" s="1"/>
      <c r="B172" s="1"/>
      <c r="C172" s="1"/>
    </row>
    <row r="173" spans="1:3" ht="23.4">
      <c r="A173" s="1"/>
      <c r="B173" s="1"/>
      <c r="C173" s="1"/>
    </row>
    <row r="174" spans="1:3" ht="23.4">
      <c r="A174" s="1"/>
      <c r="B174" s="1"/>
      <c r="C174" s="1"/>
    </row>
    <row r="175" spans="1:3" ht="23.4">
      <c r="A175" s="1"/>
      <c r="B175" s="1"/>
      <c r="C175" s="1"/>
    </row>
    <row r="176" spans="1:3" ht="23.4">
      <c r="A176" s="1"/>
      <c r="B176" s="1"/>
      <c r="C176" s="1"/>
    </row>
    <row r="177" spans="1:3" ht="23.4">
      <c r="A177" s="1"/>
      <c r="B177" s="1"/>
      <c r="C177" s="1"/>
    </row>
    <row r="178" spans="1:3" ht="23.4">
      <c r="A178" s="1"/>
      <c r="B178" s="1"/>
      <c r="C178" s="1"/>
    </row>
    <row r="179" spans="1:3" ht="23.4">
      <c r="A179" s="1"/>
      <c r="B179" s="1"/>
      <c r="C179" s="1"/>
    </row>
    <row r="180" spans="1:3" ht="23.4">
      <c r="A180" s="1"/>
      <c r="B180" s="1"/>
      <c r="C180" s="1"/>
    </row>
    <row r="181" spans="1:3" ht="23.4">
      <c r="A181" s="1"/>
      <c r="B181" s="1"/>
      <c r="C181" s="1"/>
    </row>
    <row r="182" spans="1:3" ht="23.4">
      <c r="A182" s="1"/>
      <c r="B182" s="1"/>
      <c r="C182" s="1"/>
    </row>
    <row r="183" spans="1:3" ht="23.4">
      <c r="A183" s="1"/>
      <c r="B183" s="1"/>
      <c r="C183" s="1"/>
    </row>
    <row r="184" spans="1:3" ht="23.4">
      <c r="A184" s="1"/>
      <c r="B184" s="1"/>
      <c r="C184" s="1"/>
    </row>
    <row r="185" spans="1:3" ht="23.4">
      <c r="A185" s="1"/>
      <c r="B185" s="1"/>
      <c r="C185" s="1"/>
    </row>
    <row r="186" spans="1:3" ht="23.4">
      <c r="A186" s="1"/>
      <c r="B186" s="1"/>
      <c r="C186" s="1"/>
    </row>
    <row r="187" spans="1:3" ht="23.4">
      <c r="A187" s="1"/>
      <c r="B187" s="1"/>
      <c r="C187" s="1"/>
    </row>
    <row r="188" spans="1:3" ht="23.4">
      <c r="A188" s="1"/>
      <c r="B188" s="1"/>
      <c r="C188" s="1"/>
    </row>
    <row r="189" spans="1:3" ht="23.4">
      <c r="A189" s="1"/>
      <c r="B189" s="1"/>
      <c r="C189" s="1"/>
    </row>
    <row r="190" spans="1:3" ht="23.4">
      <c r="A190" s="1"/>
      <c r="B190" s="1"/>
      <c r="C190" s="1"/>
    </row>
    <row r="191" spans="1:3" ht="23.4">
      <c r="A191" s="1"/>
      <c r="B191" s="1"/>
      <c r="C191" s="1"/>
    </row>
    <row r="192" spans="1:3" ht="23.4">
      <c r="A192" s="1"/>
      <c r="B192" s="1"/>
      <c r="C192" s="1"/>
    </row>
    <row r="193" spans="1:3" ht="23.4">
      <c r="A193" s="1"/>
      <c r="B193" s="1"/>
      <c r="C193" s="1"/>
    </row>
    <row r="194" spans="1:3" ht="23.4">
      <c r="A194" s="1"/>
      <c r="B194" s="1"/>
      <c r="C194" s="1"/>
    </row>
    <row r="195" spans="1:3" ht="23.4">
      <c r="A195" s="1"/>
      <c r="B195" s="1"/>
      <c r="C195" s="1"/>
    </row>
    <row r="196" spans="1:3" ht="23.4">
      <c r="A196" s="1"/>
      <c r="B196" s="1"/>
      <c r="C196" s="1"/>
    </row>
    <row r="197" spans="1:3" ht="23.4">
      <c r="A197" s="1"/>
      <c r="B197" s="1"/>
      <c r="C197" s="1"/>
    </row>
    <row r="198" spans="1:3" ht="23.4">
      <c r="A198" s="1"/>
      <c r="B198" s="1"/>
      <c r="C198" s="1"/>
    </row>
    <row r="199" spans="1:3" ht="23.4">
      <c r="A199" s="1"/>
      <c r="B199" s="1"/>
      <c r="C199" s="1"/>
    </row>
    <row r="200" spans="1:3" ht="23.4">
      <c r="A200" s="1"/>
      <c r="B200" s="1"/>
      <c r="C200" s="1"/>
    </row>
    <row r="201" spans="1:3" ht="23.4">
      <c r="A201" s="1"/>
      <c r="B201" s="1"/>
      <c r="C201" s="1"/>
    </row>
    <row r="202" spans="1:3" ht="23.4">
      <c r="A202" s="1"/>
      <c r="B202" s="1"/>
      <c r="C202" s="1"/>
    </row>
    <row r="203" spans="1:3" ht="23.4">
      <c r="A203" s="1"/>
      <c r="B203" s="1"/>
      <c r="C203" s="1"/>
    </row>
    <row r="204" spans="1:3" ht="23.4">
      <c r="A204" s="1"/>
      <c r="B204" s="1"/>
      <c r="C204" s="1"/>
    </row>
    <row r="205" spans="1:3" ht="23.4">
      <c r="A205" s="1"/>
      <c r="B205" s="1"/>
      <c r="C205" s="1"/>
    </row>
    <row r="206" spans="1:3" ht="23.4">
      <c r="A206" s="20"/>
      <c r="B206" s="20"/>
      <c r="C206" s="1"/>
    </row>
    <row r="207" spans="1:3" ht="23.4">
      <c r="A207" s="1"/>
      <c r="B207" s="1"/>
      <c r="C207" s="1"/>
    </row>
    <row r="208" spans="1:3" ht="23.4">
      <c r="A208" s="1"/>
      <c r="B208" s="1"/>
      <c r="C208" s="1"/>
    </row>
    <row r="209" spans="1:3" ht="23.4">
      <c r="A209" s="1"/>
      <c r="B209" s="1"/>
      <c r="C209" s="1"/>
    </row>
    <row r="210" spans="1:3" ht="23.4">
      <c r="A210" s="53"/>
      <c r="B210" s="53"/>
      <c r="C210" s="1"/>
    </row>
    <row r="211" spans="1:3" ht="23.4">
      <c r="A211" s="1"/>
      <c r="B211" s="1"/>
      <c r="C211" s="1"/>
    </row>
    <row r="212" spans="1:3" ht="23.4">
      <c r="A212" s="1"/>
      <c r="B212" s="1"/>
      <c r="C212" s="1"/>
    </row>
    <row r="213" spans="1:3" ht="23.4">
      <c r="A213" s="1"/>
      <c r="B213" s="1"/>
      <c r="C213" s="1"/>
    </row>
    <row r="214" spans="1:3" ht="23.4">
      <c r="A214" s="46"/>
      <c r="B214" s="46"/>
      <c r="C214" s="1"/>
    </row>
    <row r="215" spans="1:3" ht="23.4">
      <c r="A215" s="1"/>
      <c r="B215" s="1"/>
      <c r="C215" s="1"/>
    </row>
    <row r="216" spans="1:3" ht="23.4">
      <c r="A216" s="1"/>
      <c r="B216" s="1"/>
      <c r="C216" s="1"/>
    </row>
    <row r="217" spans="1:3" ht="23.4">
      <c r="A217" s="1"/>
      <c r="B217" s="1"/>
      <c r="C217" s="1"/>
    </row>
    <row r="218" spans="1:3" ht="23.4">
      <c r="A218" s="1"/>
      <c r="B218" s="1"/>
      <c r="C218" s="1"/>
    </row>
    <row r="219" spans="1:3" ht="23.4">
      <c r="A219" s="1"/>
      <c r="B219" s="1"/>
      <c r="C219" s="1"/>
    </row>
    <row r="220" spans="1:3" ht="23.4">
      <c r="A220" s="1"/>
      <c r="B220" s="1"/>
      <c r="C220" s="1"/>
    </row>
    <row r="221" spans="1:3" ht="23.4">
      <c r="A221" s="1"/>
      <c r="B221" s="1"/>
      <c r="C221" s="1"/>
    </row>
    <row r="222" spans="1:3" ht="23.4">
      <c r="A222" s="1"/>
      <c r="B222" s="1"/>
      <c r="C222" s="1"/>
    </row>
    <row r="223" spans="1:3" ht="23.4">
      <c r="A223" s="1"/>
      <c r="B223" s="1"/>
      <c r="C223" s="1"/>
    </row>
    <row r="224" spans="1:3" ht="23.4">
      <c r="A224" s="1"/>
      <c r="B224" s="1"/>
      <c r="C224" s="1"/>
    </row>
    <row r="225" spans="1:3" ht="23.4">
      <c r="A225" s="1"/>
      <c r="B225" s="1"/>
      <c r="C225" s="1"/>
    </row>
    <row r="226" spans="1:3" ht="23.4">
      <c r="A226" s="1"/>
      <c r="B226" s="1"/>
      <c r="C226" s="1"/>
    </row>
    <row r="227" spans="1:3" ht="23.4">
      <c r="A227" s="1"/>
      <c r="B227" s="1"/>
      <c r="C227" s="1"/>
    </row>
    <row r="228" spans="1:3" ht="23.4">
      <c r="A228" s="1"/>
      <c r="B228" s="1"/>
      <c r="C228" s="1"/>
    </row>
    <row r="229" spans="1:3" ht="23.4">
      <c r="A229" s="1"/>
      <c r="B229" s="1"/>
      <c r="C229" s="1"/>
    </row>
    <row r="230" spans="1:3" ht="23.4">
      <c r="A230" s="1"/>
      <c r="B230" s="1"/>
      <c r="C230" s="1"/>
    </row>
    <row r="231" spans="1:3" ht="23.4">
      <c r="A231" s="53"/>
      <c r="B231" s="53"/>
      <c r="C231" s="1"/>
    </row>
    <row r="232" spans="1:3" ht="23.4">
      <c r="A232" s="1"/>
      <c r="B232" s="1"/>
      <c r="C232" s="1"/>
    </row>
    <row r="233" spans="1:3" ht="23.4">
      <c r="A233" s="1"/>
      <c r="B233" s="1"/>
      <c r="C233" s="1"/>
    </row>
    <row r="234" spans="1:3" ht="23.4">
      <c r="A234" s="1"/>
      <c r="B234" s="1"/>
      <c r="C234" s="1"/>
    </row>
    <row r="235" spans="1:3" ht="23.4">
      <c r="A235" s="1"/>
      <c r="B235" s="1"/>
      <c r="C235" s="1"/>
    </row>
    <row r="236" spans="1:3" ht="23.4">
      <c r="A236" s="1"/>
      <c r="B236" s="1"/>
      <c r="C236" s="1"/>
    </row>
    <row r="237" spans="1:3" ht="23.4">
      <c r="A237" s="1"/>
      <c r="B237" s="1"/>
      <c r="C237" s="1"/>
    </row>
    <row r="238" spans="1:3" ht="23.4">
      <c r="A238" s="1"/>
      <c r="B238" s="1"/>
      <c r="C238" s="1"/>
    </row>
    <row r="239" spans="1:3" ht="23.4">
      <c r="A239" s="1"/>
      <c r="B239" s="1"/>
      <c r="C239" s="1"/>
    </row>
    <row r="240" spans="1:3" ht="23.4">
      <c r="A240" s="1"/>
      <c r="B240" s="1"/>
      <c r="C240" s="1"/>
    </row>
    <row r="241" spans="1:3" ht="23.4">
      <c r="A241" s="1"/>
      <c r="B241" s="1"/>
      <c r="C241" s="1"/>
    </row>
    <row r="242" spans="1:3" ht="23.4">
      <c r="A242" s="1"/>
      <c r="B242" s="1"/>
      <c r="C242" s="1"/>
    </row>
    <row r="243" spans="1:3" ht="23.4">
      <c r="A243" s="1"/>
      <c r="B243" s="1"/>
      <c r="C243" s="1"/>
    </row>
    <row r="244" spans="1:3" ht="23.4">
      <c r="A244" s="1"/>
      <c r="B244" s="1"/>
      <c r="C244" s="1"/>
    </row>
    <row r="245" spans="1:3" ht="23.4">
      <c r="A245" s="1"/>
      <c r="B245" s="1"/>
      <c r="C245" s="1"/>
    </row>
    <row r="246" spans="1:3" ht="23.4">
      <c r="A246" s="1"/>
      <c r="B246" s="1"/>
      <c r="C246" s="1"/>
    </row>
    <row r="247" spans="1:3" ht="23.4">
      <c r="A247" s="1"/>
      <c r="B247" s="1"/>
      <c r="C247" s="1"/>
    </row>
    <row r="248" spans="1:3" ht="23.4">
      <c r="A248" s="1"/>
      <c r="B248" s="1"/>
      <c r="C248" s="1"/>
    </row>
    <row r="249" spans="1:3" ht="23.4">
      <c r="A249" s="1"/>
      <c r="B249" s="1"/>
      <c r="C249" s="1"/>
    </row>
    <row r="250" spans="1:3" ht="23.4">
      <c r="A250" s="1"/>
      <c r="B250" s="1"/>
      <c r="C250" s="1"/>
    </row>
    <row r="251" spans="1:3" ht="23.4">
      <c r="A251" s="1"/>
      <c r="B251" s="1"/>
      <c r="C251" s="1"/>
    </row>
    <row r="252" spans="1:3" ht="23.4">
      <c r="A252" s="1"/>
      <c r="B252" s="1"/>
      <c r="C252" s="1"/>
    </row>
    <row r="253" spans="1:3" ht="23.4">
      <c r="A253" s="1"/>
      <c r="B253" s="1"/>
      <c r="C253" s="1"/>
    </row>
    <row r="254" spans="1:3" ht="23.4">
      <c r="A254" s="55"/>
      <c r="B254" s="55"/>
      <c r="C254" s="1"/>
    </row>
    <row r="255" spans="1:3" ht="23.4">
      <c r="A255" s="1"/>
      <c r="B255" s="1"/>
      <c r="C255" s="1"/>
    </row>
    <row r="256" spans="1:3" ht="23.4">
      <c r="A256" s="1"/>
      <c r="B256" s="1"/>
      <c r="C256" s="1"/>
    </row>
    <row r="257" spans="1:3" ht="23.4">
      <c r="A257" s="1"/>
      <c r="B257" s="1"/>
      <c r="C257" s="1"/>
    </row>
    <row r="258" spans="1:3" ht="23.4">
      <c r="A258" s="1"/>
      <c r="B258" s="1"/>
      <c r="C258" s="1"/>
    </row>
    <row r="259" spans="1:3" ht="23.4">
      <c r="A259" s="1"/>
      <c r="B259" s="1"/>
      <c r="C259" s="1"/>
    </row>
    <row r="260" spans="1:3" ht="23.4">
      <c r="A260" s="1"/>
      <c r="B260" s="1"/>
      <c r="C260" s="1"/>
    </row>
    <row r="261" spans="1:3" ht="23.4">
      <c r="A261" s="1"/>
      <c r="B261" s="1"/>
      <c r="C261" s="1"/>
    </row>
    <row r="262" spans="1:3" ht="23.4">
      <c r="A262" s="1"/>
      <c r="B262" s="1"/>
      <c r="C262" s="1"/>
    </row>
    <row r="263" spans="1:3" ht="23.4">
      <c r="A263" s="1"/>
      <c r="B263" s="1"/>
      <c r="C263" s="1"/>
    </row>
    <row r="264" spans="1:3" ht="23.4">
      <c r="A264" s="1"/>
      <c r="B264" s="1"/>
      <c r="C264" s="1"/>
    </row>
    <row r="265" spans="1:3" ht="23.4">
      <c r="A265" s="1"/>
      <c r="B265" s="1"/>
      <c r="C265" s="1"/>
    </row>
    <row r="266" spans="1:3" ht="23.4">
      <c r="A266" s="1"/>
      <c r="B266" s="1"/>
      <c r="C266" s="1"/>
    </row>
    <row r="267" spans="1:3" ht="23.4">
      <c r="A267" s="1"/>
      <c r="B267" s="1"/>
      <c r="C267" s="1"/>
    </row>
    <row r="268" spans="1:3" ht="23.4">
      <c r="A268" s="1"/>
      <c r="B268" s="1"/>
      <c r="C268" s="1"/>
    </row>
    <row r="269" spans="1:3" ht="23.4">
      <c r="A269" s="1"/>
      <c r="B269" s="1"/>
      <c r="C269" s="1"/>
    </row>
    <row r="270" spans="1:3" ht="23.4">
      <c r="A270" s="1"/>
      <c r="B270" s="1"/>
      <c r="C270" s="1"/>
    </row>
    <row r="271" spans="1:3" ht="23.4">
      <c r="A271" s="1"/>
      <c r="B271" s="1"/>
      <c r="C271" s="1"/>
    </row>
    <row r="272" spans="1:3" ht="23.4">
      <c r="A272" s="1"/>
      <c r="B272" s="1"/>
      <c r="C272" s="1"/>
    </row>
    <row r="273" spans="1:3" ht="23.4">
      <c r="A273" s="1"/>
      <c r="B273" s="1"/>
      <c r="C273" s="1"/>
    </row>
    <row r="274" spans="1:3" ht="23.4">
      <c r="A274" s="1"/>
      <c r="B274" s="1"/>
      <c r="C274" s="1"/>
    </row>
    <row r="275" spans="1:3" ht="23.4">
      <c r="A275" s="1"/>
      <c r="B275" s="1"/>
      <c r="C275" s="1"/>
    </row>
    <row r="276" spans="1:3" ht="23.4">
      <c r="A276" s="1"/>
      <c r="B276" s="1"/>
      <c r="C276" s="1"/>
    </row>
    <row r="277" spans="1:3" ht="23.4">
      <c r="A277" s="1"/>
      <c r="B277" s="1"/>
      <c r="C277" s="1"/>
    </row>
    <row r="278" spans="1:3" ht="23.4">
      <c r="A278" s="1"/>
      <c r="B278" s="1"/>
      <c r="C278" s="1"/>
    </row>
    <row r="279" spans="1:3" ht="23.4">
      <c r="A279" s="1"/>
      <c r="B279" s="1"/>
      <c r="C279" s="1"/>
    </row>
    <row r="280" spans="1:3" ht="23.4">
      <c r="A280" s="1"/>
      <c r="B280" s="1"/>
      <c r="C280" s="1"/>
    </row>
    <row r="281" spans="1:3" ht="23.4">
      <c r="A281" s="1"/>
      <c r="B281" s="1"/>
      <c r="C281" s="1"/>
    </row>
    <row r="282" spans="1:3" ht="23.4">
      <c r="A282" s="1"/>
      <c r="B282" s="1"/>
      <c r="C282" s="1"/>
    </row>
    <row r="283" spans="1:3" ht="23.4">
      <c r="A283" s="1"/>
      <c r="B283" s="1"/>
      <c r="C283" s="1"/>
    </row>
    <row r="284" spans="1:3" ht="23.4">
      <c r="A284" s="1"/>
      <c r="B284" s="1"/>
      <c r="C284" s="1"/>
    </row>
    <row r="285" spans="1:3" ht="23.4">
      <c r="A285" s="1"/>
      <c r="B285" s="1"/>
      <c r="C285" s="1"/>
    </row>
    <row r="286" spans="1:3" ht="23.4">
      <c r="A286" s="1"/>
      <c r="B286" s="1"/>
      <c r="C286" s="1"/>
    </row>
    <row r="287" spans="1:3" ht="23.4">
      <c r="A287" s="1"/>
      <c r="B287" s="1"/>
      <c r="C287" s="1"/>
    </row>
    <row r="288" spans="1:3" ht="23.4">
      <c r="A288" s="1"/>
      <c r="B288" s="1"/>
      <c r="C288" s="1"/>
    </row>
    <row r="289" spans="1:3" ht="23.4">
      <c r="A289" s="1"/>
      <c r="B289" s="1"/>
      <c r="C289" s="1"/>
    </row>
    <row r="290" spans="1:3" ht="23.4">
      <c r="A290" s="1"/>
      <c r="B290" s="1"/>
      <c r="C290" s="1"/>
    </row>
    <row r="291" spans="1:3" ht="23.4">
      <c r="A291" s="1"/>
      <c r="B291" s="1"/>
      <c r="C291" s="1"/>
    </row>
    <row r="292" spans="1:3" ht="23.4">
      <c r="A292" s="1"/>
      <c r="B292" s="1"/>
      <c r="C292" s="1"/>
    </row>
    <row r="293" spans="1:3" ht="23.4">
      <c r="A293" s="1"/>
      <c r="B293" s="1"/>
      <c r="C293" s="1"/>
    </row>
    <row r="294" spans="1:3" ht="23.4">
      <c r="A294" s="53"/>
      <c r="B294" s="53"/>
      <c r="C294" s="1"/>
    </row>
    <row r="295" spans="1:3" ht="23.4">
      <c r="A295" s="1"/>
      <c r="B295" s="1"/>
      <c r="C295" s="1"/>
    </row>
    <row r="296" spans="1:3" ht="23.4">
      <c r="A296" s="1"/>
      <c r="B296" s="1"/>
      <c r="C296" s="1"/>
    </row>
    <row r="297" spans="1:3" ht="23.4">
      <c r="A297" s="1"/>
      <c r="B297" s="1"/>
      <c r="C297" s="1"/>
    </row>
    <row r="298" spans="1:3" ht="23.4">
      <c r="A298" s="1"/>
      <c r="B298" s="1"/>
      <c r="C298" s="1"/>
    </row>
    <row r="299" spans="1:3" ht="23.4">
      <c r="A299" s="1"/>
      <c r="B299" s="1"/>
      <c r="C299" s="1"/>
    </row>
    <row r="300" spans="1:3" ht="23.4">
      <c r="A300" s="1"/>
      <c r="B300" s="1"/>
      <c r="C300" s="1"/>
    </row>
    <row r="301" spans="1:3" ht="23.4">
      <c r="A301" s="1"/>
      <c r="B301" s="1"/>
      <c r="C301" s="1"/>
    </row>
    <row r="302" spans="1:3" ht="23.4">
      <c r="A302" s="1"/>
      <c r="B302" s="1"/>
      <c r="C302" s="1"/>
    </row>
    <row r="303" spans="1:3" ht="23.4">
      <c r="A303" s="1"/>
      <c r="B303" s="1"/>
      <c r="C303" s="1"/>
    </row>
    <row r="304" spans="1:3" ht="23.4">
      <c r="A304" s="1"/>
      <c r="B304" s="1"/>
      <c r="C304" s="1"/>
    </row>
    <row r="305" spans="1:3" ht="23.4">
      <c r="A305" s="1"/>
      <c r="B305" s="1"/>
      <c r="C305" s="1"/>
    </row>
    <row r="306" spans="1:3" ht="23.4">
      <c r="A306" s="1"/>
      <c r="B306" s="1"/>
      <c r="C306" s="1"/>
    </row>
    <row r="307" spans="1:3" ht="23.4">
      <c r="A307" s="20"/>
      <c r="B307" s="20"/>
      <c r="C307" s="1"/>
    </row>
    <row r="308" spans="1:3" ht="23.4">
      <c r="A308" s="1"/>
      <c r="B308" s="1"/>
      <c r="C308" s="1"/>
    </row>
    <row r="309" spans="1:3" ht="23.4">
      <c r="A309" s="1"/>
      <c r="B309" s="1"/>
      <c r="C309" s="1"/>
    </row>
    <row r="310" spans="1:3" ht="23.4">
      <c r="A310" s="1"/>
      <c r="B310" s="1"/>
      <c r="C310" s="1"/>
    </row>
    <row r="311" spans="1:3" ht="23.4">
      <c r="A311" s="1"/>
      <c r="B311" s="1"/>
      <c r="C311" s="1"/>
    </row>
    <row r="312" spans="1:3" ht="23.4">
      <c r="A312" s="1"/>
      <c r="B312" s="1"/>
      <c r="C312" s="1"/>
    </row>
    <row r="313" spans="1:3" ht="23.4">
      <c r="A313" s="1"/>
      <c r="B313" s="1"/>
      <c r="C313" s="1"/>
    </row>
    <row r="314" spans="1:3" ht="23.4">
      <c r="A314" s="1"/>
      <c r="B314" s="1"/>
      <c r="C314" s="1"/>
    </row>
    <row r="315" spans="1:3" ht="23.4">
      <c r="A315" s="20"/>
      <c r="B315" s="20"/>
      <c r="C315" s="1"/>
    </row>
    <row r="316" spans="1:3" ht="23.4">
      <c r="A316" s="1"/>
      <c r="B316" s="1"/>
      <c r="C316" s="1"/>
    </row>
    <row r="317" spans="1:3" ht="23.4">
      <c r="A317" s="1"/>
      <c r="B317" s="1"/>
      <c r="C317" s="1"/>
    </row>
    <row r="318" spans="1:3" ht="23.4">
      <c r="A318" s="1"/>
      <c r="B318" s="1"/>
      <c r="C318" s="1"/>
    </row>
    <row r="319" spans="1:3" ht="23.4">
      <c r="A319" s="1"/>
      <c r="B319" s="1"/>
      <c r="C319" s="1"/>
    </row>
    <row r="320" spans="1:3" ht="23.4">
      <c r="A320" s="1"/>
      <c r="B320" s="1"/>
      <c r="C320" s="1"/>
    </row>
    <row r="321" spans="1:3" ht="23.4">
      <c r="A321" s="1"/>
      <c r="B321" s="1"/>
      <c r="C321" s="1"/>
    </row>
    <row r="322" spans="1:3" ht="23.4">
      <c r="A322" s="1"/>
      <c r="B322" s="1"/>
      <c r="C322" s="1"/>
    </row>
    <row r="323" spans="1:3" ht="23.4">
      <c r="A323" s="1"/>
      <c r="B323" s="1"/>
      <c r="C323" s="1"/>
    </row>
    <row r="324" spans="1:3" ht="23.4">
      <c r="A324" s="1"/>
      <c r="B324" s="1"/>
      <c r="C324" s="1"/>
    </row>
    <row r="325" spans="1:3" ht="23.4">
      <c r="A325" s="1"/>
      <c r="B325" s="1"/>
      <c r="C325" s="1"/>
    </row>
    <row r="326" spans="1:3" ht="23.4">
      <c r="A326" s="1"/>
      <c r="B326" s="1"/>
      <c r="C326" s="1"/>
    </row>
    <row r="327" spans="1:3" ht="23.4">
      <c r="A327" s="1"/>
      <c r="B327" s="1"/>
      <c r="C327" s="1"/>
    </row>
    <row r="328" spans="1:3" ht="23.4">
      <c r="A328" s="1"/>
      <c r="B328" s="1"/>
      <c r="C328" s="1"/>
    </row>
    <row r="329" spans="1:3" ht="23.4">
      <c r="A329" s="1"/>
      <c r="B329" s="1"/>
      <c r="C329" s="1"/>
    </row>
    <row r="330" spans="1:3" ht="23.4">
      <c r="A330" s="46"/>
      <c r="B330" s="46"/>
      <c r="C330" s="1"/>
    </row>
    <row r="331" spans="1:3" ht="23.4">
      <c r="A331" s="1"/>
      <c r="B331" s="1"/>
      <c r="C331" s="1"/>
    </row>
    <row r="332" spans="1:3" ht="23.4">
      <c r="A332" s="1"/>
      <c r="B332" s="1"/>
      <c r="C332" s="1"/>
    </row>
    <row r="333" spans="1:3" ht="23.4">
      <c r="A333" s="1"/>
      <c r="B333" s="1"/>
      <c r="C333" s="1"/>
    </row>
    <row r="334" spans="1:3" ht="23.4">
      <c r="A334" s="1"/>
      <c r="B334" s="1"/>
      <c r="C334" s="1"/>
    </row>
    <row r="335" spans="1:3" ht="23.4">
      <c r="A335" s="1"/>
      <c r="B335" s="1"/>
      <c r="C335" s="1"/>
    </row>
    <row r="336" spans="1:3" ht="23.4">
      <c r="A336" s="1"/>
      <c r="B336" s="1"/>
      <c r="C336" s="1"/>
    </row>
    <row r="337" spans="1:3" ht="23.4">
      <c r="A337" s="1"/>
      <c r="B337" s="1"/>
      <c r="C337" s="1"/>
    </row>
    <row r="338" spans="1:3" ht="23.4">
      <c r="A338" s="1"/>
      <c r="B338" s="1"/>
      <c r="C338" s="1"/>
    </row>
    <row r="339" spans="1:3" ht="23.4">
      <c r="A339" s="1"/>
      <c r="B339" s="1"/>
      <c r="C339" s="1"/>
    </row>
    <row r="340" spans="1:3" ht="23.4">
      <c r="A340" s="1"/>
      <c r="B340" s="1"/>
      <c r="C340" s="1"/>
    </row>
    <row r="341" spans="1:3" ht="23.4">
      <c r="A341" s="1"/>
      <c r="B341" s="1"/>
      <c r="C341" s="1"/>
    </row>
    <row r="342" spans="1:3" ht="23.4">
      <c r="A342" s="1"/>
      <c r="B342" s="1"/>
      <c r="C342" s="1"/>
    </row>
    <row r="343" spans="1:3" ht="23.4">
      <c r="A343" s="1"/>
      <c r="B343" s="1"/>
      <c r="C343" s="1"/>
    </row>
    <row r="344" spans="1:3" ht="23.4">
      <c r="A344" s="1"/>
      <c r="B344" s="1"/>
      <c r="C344" s="1"/>
    </row>
    <row r="345" spans="1:3" ht="23.4">
      <c r="A345" s="1"/>
      <c r="B345" s="1"/>
      <c r="C345" s="1"/>
    </row>
    <row r="346" spans="1:3" ht="23.4">
      <c r="A346" s="1"/>
      <c r="B346" s="1"/>
      <c r="C346" s="1"/>
    </row>
    <row r="347" spans="1:3" ht="23.4">
      <c r="A347" s="1"/>
      <c r="B347" s="1"/>
      <c r="C347" s="1"/>
    </row>
    <row r="348" spans="1:3" ht="23.4">
      <c r="A348" s="1"/>
      <c r="B348" s="1"/>
      <c r="C348" s="1"/>
    </row>
    <row r="349" spans="1:3" ht="23.4">
      <c r="A349" s="1"/>
      <c r="B349" s="1"/>
      <c r="C349" s="1"/>
    </row>
    <row r="350" spans="1:3" ht="23.4">
      <c r="A350" s="1"/>
      <c r="B350" s="1"/>
      <c r="C350" s="1"/>
    </row>
    <row r="351" spans="1:3" ht="23.4">
      <c r="A351" s="1"/>
      <c r="B351" s="1"/>
      <c r="C351" s="1"/>
    </row>
    <row r="352" spans="1:3" ht="23.4">
      <c r="A352" s="1"/>
      <c r="B352" s="1"/>
      <c r="C352" s="1"/>
    </row>
    <row r="353" spans="1:3" ht="23.4">
      <c r="A353" s="1"/>
      <c r="B353" s="1"/>
      <c r="C353" s="1"/>
    </row>
    <row r="354" spans="1:3" ht="23.4">
      <c r="A354" s="1"/>
      <c r="B354" s="1"/>
      <c r="C354" s="1"/>
    </row>
    <row r="355" spans="1:3" ht="23.4">
      <c r="A355" s="1"/>
      <c r="B355" s="1"/>
      <c r="C355" s="1"/>
    </row>
    <row r="356" spans="1:3" ht="23.4">
      <c r="A356" s="1"/>
      <c r="B356" s="1"/>
      <c r="C356" s="1"/>
    </row>
    <row r="357" spans="1:3" ht="23.4">
      <c r="A357" s="1"/>
      <c r="B357" s="1"/>
      <c r="C357" s="1"/>
    </row>
    <row r="358" spans="1:3" ht="23.4">
      <c r="A358" s="1"/>
      <c r="B358" s="1"/>
      <c r="C358" s="1"/>
    </row>
    <row r="359" spans="1:3" ht="23.4">
      <c r="A359" s="1"/>
      <c r="B359" s="1"/>
      <c r="C359" s="1"/>
    </row>
    <row r="360" spans="1:3" ht="23.4">
      <c r="A360" s="1"/>
      <c r="B360" s="1"/>
      <c r="C360" s="1"/>
    </row>
    <row r="361" spans="1:3" ht="23.4">
      <c r="A361" s="1"/>
      <c r="B361" s="1"/>
      <c r="C361" s="1"/>
    </row>
    <row r="362" spans="1:3" ht="23.4">
      <c r="A362" s="1"/>
      <c r="B362" s="1"/>
      <c r="C362" s="1"/>
    </row>
    <row r="363" spans="1:3" ht="23.4">
      <c r="A363" s="1"/>
      <c r="B363" s="1"/>
      <c r="C363" s="1"/>
    </row>
    <row r="364" spans="1:3" ht="23.4">
      <c r="A364" s="1"/>
      <c r="B364" s="1"/>
      <c r="C364" s="1"/>
    </row>
    <row r="365" spans="1:3" ht="23.4">
      <c r="A365" s="1"/>
      <c r="B365" s="1"/>
      <c r="C365" s="1"/>
    </row>
    <row r="366" spans="1:3" ht="23.4">
      <c r="A366" s="1"/>
      <c r="B366" s="1"/>
      <c r="C366" s="1"/>
    </row>
    <row r="367" spans="1:3" ht="23.4">
      <c r="A367" s="1"/>
      <c r="B367" s="1"/>
      <c r="C367" s="1"/>
    </row>
    <row r="368" spans="1:3" ht="23.4">
      <c r="A368" s="1"/>
      <c r="B368" s="1"/>
      <c r="C368" s="1"/>
    </row>
    <row r="369" spans="1:3" ht="23.4">
      <c r="A369" s="1"/>
      <c r="B369" s="1"/>
      <c r="C369" s="1"/>
    </row>
    <row r="370" spans="1:3" ht="23.4">
      <c r="A370" s="1"/>
      <c r="B370" s="1"/>
      <c r="C370" s="1"/>
    </row>
    <row r="371" spans="1:3" ht="23.4">
      <c r="A371" s="1"/>
      <c r="B371" s="1"/>
      <c r="C371" s="1"/>
    </row>
    <row r="372" spans="1:3" ht="23.4">
      <c r="A372" s="1"/>
      <c r="B372" s="1"/>
      <c r="C372" s="1"/>
    </row>
    <row r="373" spans="1:3" ht="23.4">
      <c r="A373" s="1"/>
      <c r="B373" s="1"/>
      <c r="C373" s="1"/>
    </row>
    <row r="374" spans="1:3" ht="23.4">
      <c r="A374" s="1"/>
      <c r="B374" s="5"/>
      <c r="C374" s="1"/>
    </row>
    <row r="375" spans="1:3" ht="23.4">
      <c r="A375" s="1"/>
      <c r="B375" s="1"/>
      <c r="C375" s="1"/>
    </row>
    <row r="376" spans="1:3" ht="23.4">
      <c r="A376" s="1"/>
      <c r="B376" s="1"/>
      <c r="C376" s="1"/>
    </row>
    <row r="377" spans="1:3" ht="23.4">
      <c r="A377" s="1"/>
      <c r="B377" s="1"/>
      <c r="C377" s="1"/>
    </row>
    <row r="378" spans="1:3" ht="23.4">
      <c r="A378" s="1"/>
      <c r="B378" s="1"/>
      <c r="C378" s="1"/>
    </row>
    <row r="379" spans="1:3" ht="23.4">
      <c r="A379" s="1"/>
      <c r="B379" s="1"/>
      <c r="C379" s="1"/>
    </row>
    <row r="380" spans="1:3" ht="23.4">
      <c r="A380" s="1"/>
      <c r="B380" s="1"/>
      <c r="C380" s="1"/>
    </row>
    <row r="381" spans="1:3" ht="23.4">
      <c r="A381" s="1"/>
      <c r="B381" s="1"/>
      <c r="C381" s="1"/>
    </row>
    <row r="382" spans="1:3" ht="23.4">
      <c r="A382" s="1"/>
      <c r="B382" s="1"/>
      <c r="C382" s="1"/>
    </row>
    <row r="383" spans="1:3" ht="23.4">
      <c r="A383" s="1"/>
      <c r="B383" s="1"/>
      <c r="C383" s="1"/>
    </row>
    <row r="384" spans="1:3" ht="23.4">
      <c r="A384" s="1"/>
      <c r="B384" s="1"/>
      <c r="C384" s="1"/>
    </row>
    <row r="385" spans="1:3" ht="23.4">
      <c r="A385" s="1"/>
      <c r="B385" s="1"/>
      <c r="C385" s="1"/>
    </row>
    <row r="386" spans="1:3" ht="23.4">
      <c r="A386" s="1"/>
      <c r="B386" s="1"/>
      <c r="C386" s="1"/>
    </row>
    <row r="387" spans="1:3" ht="23.4">
      <c r="A387" s="53"/>
      <c r="B387" s="53"/>
      <c r="C387" s="1"/>
    </row>
    <row r="388" spans="1:3" ht="23.4">
      <c r="A388" s="53"/>
      <c r="B388" s="53"/>
      <c r="C388" s="1"/>
    </row>
    <row r="389" spans="1:3" ht="23.4">
      <c r="A389" s="1"/>
      <c r="B389" s="1"/>
      <c r="C389" s="1"/>
    </row>
    <row r="390" spans="1:3" ht="23.4">
      <c r="A390" s="1"/>
      <c r="B390" s="1"/>
      <c r="C390" s="1"/>
    </row>
    <row r="391" spans="1:3" ht="23.4">
      <c r="A391" s="1"/>
      <c r="B391" s="1"/>
      <c r="C391" s="1"/>
    </row>
    <row r="392" spans="1:3" ht="23.4">
      <c r="A392" s="1"/>
      <c r="B392" s="1"/>
      <c r="C392" s="1"/>
    </row>
    <row r="393" spans="1:3" ht="23.4">
      <c r="A393" s="1"/>
      <c r="B393" s="1"/>
      <c r="C393" s="1"/>
    </row>
    <row r="394" spans="1:3" ht="23.4">
      <c r="A394" s="1"/>
      <c r="B394" s="1"/>
      <c r="C394" s="1"/>
    </row>
    <row r="395" spans="1:3" ht="23.4">
      <c r="A395" s="1"/>
      <c r="B395" s="1"/>
      <c r="C395" s="1"/>
    </row>
    <row r="396" spans="1:3" ht="23.4">
      <c r="A396" s="1"/>
      <c r="B396" s="1"/>
      <c r="C396" s="1"/>
    </row>
    <row r="397" spans="1:3" ht="23.4">
      <c r="A397" s="1"/>
      <c r="B397" s="1"/>
      <c r="C397" s="1"/>
    </row>
    <row r="398" spans="1:3" ht="23.4">
      <c r="A398" s="1"/>
      <c r="B398" s="1"/>
      <c r="C398" s="1"/>
    </row>
    <row r="399" spans="1:3" ht="23.4">
      <c r="A399" s="1"/>
      <c r="B399" s="1"/>
      <c r="C399" s="1"/>
    </row>
    <row r="400" spans="1:3" ht="23.4">
      <c r="A400" s="1"/>
      <c r="B400" s="1"/>
      <c r="C400" s="1"/>
    </row>
    <row r="401" spans="1:3" ht="23.4">
      <c r="A401" s="1"/>
      <c r="B401" s="1"/>
      <c r="C401" s="1"/>
    </row>
    <row r="402" spans="1:3" ht="23.4">
      <c r="A402" s="1"/>
      <c r="B402" s="1"/>
      <c r="C402" s="1"/>
    </row>
    <row r="403" spans="1:3" ht="23.4">
      <c r="A403" s="1"/>
      <c r="B403" s="1"/>
      <c r="C403" s="1"/>
    </row>
    <row r="404" spans="1:3" ht="23.4">
      <c r="A404" s="1"/>
      <c r="B404" s="1"/>
      <c r="C404" s="1"/>
    </row>
    <row r="405" spans="1:3" ht="23.4">
      <c r="A405" s="1"/>
      <c r="B405" s="1"/>
      <c r="C405" s="1"/>
    </row>
    <row r="406" spans="1:3" ht="23.4">
      <c r="A406" s="1"/>
      <c r="B406" s="1"/>
      <c r="C406" s="1"/>
    </row>
    <row r="407" spans="1:3" ht="23.4">
      <c r="A407" s="1"/>
      <c r="B407" s="1"/>
      <c r="C407" s="1"/>
    </row>
    <row r="408" spans="1:3" ht="23.4">
      <c r="A408" s="1"/>
      <c r="B408" s="1"/>
      <c r="C408" s="1"/>
    </row>
    <row r="409" spans="1:3" ht="23.4">
      <c r="A409" s="1"/>
      <c r="B409" s="1"/>
      <c r="C409" s="1"/>
    </row>
    <row r="410" spans="1:3" ht="23.4">
      <c r="A410" s="1"/>
      <c r="B410" s="1"/>
      <c r="C410" s="1"/>
    </row>
    <row r="411" spans="1:3" ht="23.4">
      <c r="A411" s="1"/>
      <c r="B411" s="1"/>
      <c r="C411" s="1"/>
    </row>
    <row r="412" spans="1:3" ht="23.4">
      <c r="A412" s="1"/>
      <c r="B412" s="1"/>
      <c r="C412" s="1"/>
    </row>
    <row r="413" spans="1:3" ht="23.4">
      <c r="A413" s="1"/>
      <c r="B413" s="1"/>
      <c r="C413" s="1"/>
    </row>
    <row r="414" spans="1:3" ht="23.4">
      <c r="A414" s="1"/>
      <c r="B414" s="1"/>
      <c r="C414" s="1"/>
    </row>
    <row r="415" spans="1:3" ht="23.4">
      <c r="A415" s="1"/>
      <c r="B415" s="1"/>
      <c r="C415" s="1"/>
    </row>
    <row r="416" spans="1:3" ht="23.4">
      <c r="A416" s="1"/>
      <c r="B416" s="1"/>
      <c r="C416" s="1"/>
    </row>
    <row r="417" spans="1:3" ht="23.4">
      <c r="A417" s="1"/>
      <c r="B417" s="1"/>
      <c r="C417" s="1"/>
    </row>
    <row r="418" spans="1:3" ht="23.4">
      <c r="A418" s="1"/>
      <c r="B418" s="1"/>
      <c r="C418" s="1"/>
    </row>
    <row r="419" spans="1:3" ht="23.4">
      <c r="A419" s="1"/>
      <c r="B419" s="1"/>
      <c r="C419" s="1"/>
    </row>
    <row r="420" spans="1:3" ht="23.4">
      <c r="A420" s="1"/>
      <c r="B420" s="1"/>
      <c r="C420" s="1"/>
    </row>
    <row r="421" spans="1:3" ht="23.4">
      <c r="A421" s="1"/>
      <c r="B421" s="1"/>
      <c r="C421" s="1"/>
    </row>
    <row r="422" spans="1:3" ht="23.4">
      <c r="A422" s="1"/>
      <c r="B422" s="1"/>
      <c r="C422" s="1"/>
    </row>
    <row r="423" spans="1:3" ht="23.4">
      <c r="A423" s="1"/>
      <c r="B423" s="1"/>
      <c r="C423" s="1"/>
    </row>
    <row r="424" spans="1:3" ht="23.4">
      <c r="A424" s="1"/>
      <c r="B424" s="1"/>
      <c r="C424" s="1"/>
    </row>
    <row r="425" spans="1:3" ht="23.4">
      <c r="A425" s="1"/>
      <c r="B425" s="1"/>
      <c r="C425" s="1"/>
    </row>
    <row r="426" spans="1:3" ht="23.4">
      <c r="A426" s="1"/>
      <c r="B426" s="1"/>
      <c r="C426" s="1"/>
    </row>
    <row r="427" spans="1:3" ht="23.4">
      <c r="A427" s="1"/>
      <c r="B427" s="1"/>
      <c r="C427" s="1"/>
    </row>
    <row r="428" spans="1:3" ht="23.4">
      <c r="A428" s="1"/>
      <c r="B428" s="1"/>
      <c r="C428" s="1"/>
    </row>
    <row r="429" spans="1:3" ht="23.4">
      <c r="A429" s="1"/>
      <c r="B429" s="1"/>
      <c r="C429" s="1"/>
    </row>
    <row r="430" spans="1:3" ht="23.4">
      <c r="A430" s="1"/>
      <c r="B430" s="1"/>
      <c r="C430" s="1"/>
    </row>
    <row r="431" spans="1:3" ht="23.4">
      <c r="A431" s="1"/>
      <c r="B431" s="1"/>
      <c r="C431" s="1"/>
    </row>
    <row r="432" spans="1:3" ht="23.4">
      <c r="A432" s="1"/>
      <c r="B432" s="1"/>
      <c r="C432" s="1"/>
    </row>
    <row r="433" spans="1:3" ht="23.4">
      <c r="A433" s="1"/>
      <c r="B433" s="1"/>
      <c r="C433" s="1"/>
    </row>
    <row r="434" spans="1:3" ht="23.4">
      <c r="A434" s="1"/>
      <c r="B434" s="1"/>
      <c r="C434" s="1"/>
    </row>
    <row r="435" spans="1:3" ht="23.4">
      <c r="A435" s="1"/>
      <c r="B435" s="1"/>
      <c r="C435" s="1"/>
    </row>
    <row r="436" spans="1:3" ht="23.4">
      <c r="A436" s="1"/>
      <c r="B436" s="1"/>
      <c r="C436" s="1"/>
    </row>
    <row r="437" spans="1:3" ht="23.4">
      <c r="A437" s="1"/>
      <c r="B437" s="1"/>
      <c r="C437" s="1"/>
    </row>
    <row r="438" spans="1:3" ht="23.4">
      <c r="A438" s="1"/>
      <c r="B438" s="1"/>
      <c r="C438" s="1"/>
    </row>
    <row r="439" spans="1:3" ht="23.4">
      <c r="A439" s="1"/>
      <c r="B439" s="1"/>
      <c r="C439" s="1"/>
    </row>
    <row r="440" spans="1:3" ht="23.4">
      <c r="A440" s="1"/>
      <c r="B440" s="1"/>
      <c r="C440" s="1"/>
    </row>
    <row r="441" spans="1:3" ht="23.4">
      <c r="A441" s="1"/>
      <c r="B441" s="1"/>
      <c r="C441" s="1"/>
    </row>
    <row r="442" spans="1:3" ht="23.4">
      <c r="A442" s="1"/>
      <c r="B442" s="1"/>
      <c r="C442" s="1"/>
    </row>
    <row r="443" spans="1:3" ht="23.4">
      <c r="A443" s="1"/>
      <c r="B443" s="1"/>
      <c r="C443" s="1"/>
    </row>
    <row r="444" spans="1:3" ht="23.4">
      <c r="A444" s="1"/>
      <c r="B444" s="1"/>
      <c r="C444" s="1"/>
    </row>
    <row r="445" spans="1:3" ht="23.4">
      <c r="A445" s="1"/>
      <c r="B445" s="1"/>
      <c r="C445" s="1"/>
    </row>
    <row r="446" spans="1:3" ht="23.4">
      <c r="A446" s="1"/>
      <c r="B446" s="1"/>
      <c r="C446" s="1"/>
    </row>
    <row r="447" spans="1:3" ht="23.4">
      <c r="A447" s="1"/>
      <c r="B447" s="1"/>
      <c r="C447" s="1"/>
    </row>
    <row r="448" spans="1:3" ht="23.4">
      <c r="A448" s="53"/>
      <c r="B448" s="53"/>
      <c r="C448" s="1"/>
    </row>
    <row r="449" spans="1:3" ht="23.4">
      <c r="A449" s="1"/>
      <c r="B449" s="1"/>
      <c r="C449" s="1"/>
    </row>
    <row r="450" spans="1:3" ht="23.4">
      <c r="A450" s="1"/>
      <c r="B450" s="1"/>
      <c r="C450" s="1"/>
    </row>
    <row r="451" spans="1:3" ht="23.4">
      <c r="A451" s="1"/>
      <c r="B451" s="1"/>
      <c r="C451" s="1"/>
    </row>
    <row r="452" spans="1:3" ht="23.4">
      <c r="A452" s="1"/>
      <c r="B452" s="1"/>
      <c r="C452" s="1"/>
    </row>
    <row r="453" spans="1:3" ht="23.4">
      <c r="A453" s="1"/>
      <c r="B453" s="1"/>
      <c r="C453" s="1"/>
    </row>
    <row r="454" spans="1:3" ht="23.4">
      <c r="A454" s="1"/>
      <c r="B454" s="1"/>
      <c r="C454" s="1"/>
    </row>
    <row r="455" spans="1:3" ht="23.4">
      <c r="A455" s="1"/>
      <c r="B455" s="1"/>
      <c r="C455" s="1"/>
    </row>
    <row r="456" spans="1:3" ht="23.4">
      <c r="A456" s="1"/>
      <c r="B456" s="1"/>
      <c r="C456" s="1"/>
    </row>
    <row r="457" spans="1:3" ht="23.4">
      <c r="A457" s="1"/>
      <c r="B457" s="1"/>
      <c r="C457" s="1"/>
    </row>
    <row r="458" spans="1:3" ht="23.4">
      <c r="A458" s="1"/>
      <c r="B458" s="1"/>
      <c r="C458" s="1"/>
    </row>
    <row r="459" spans="1:3" ht="23.4">
      <c r="A459" s="1"/>
      <c r="B459" s="1"/>
      <c r="C459" s="1"/>
    </row>
    <row r="460" spans="1:3" ht="23.4">
      <c r="A460" s="1"/>
      <c r="B460" s="1"/>
      <c r="C460" s="1"/>
    </row>
    <row r="461" spans="1:3" ht="23.4">
      <c r="A461" s="1"/>
      <c r="B461" s="1"/>
      <c r="C461" s="1"/>
    </row>
    <row r="462" spans="1:3" ht="23.4">
      <c r="A462" s="1"/>
      <c r="B462" s="1"/>
      <c r="C462" s="1"/>
    </row>
    <row r="463" spans="1:3" ht="23.4">
      <c r="A463" s="1"/>
      <c r="B463" s="1"/>
      <c r="C463" s="1"/>
    </row>
    <row r="464" spans="1:3" ht="23.4">
      <c r="A464" s="1"/>
      <c r="B464" s="1"/>
      <c r="C464" s="1"/>
    </row>
    <row r="465" spans="1:3" ht="23.4">
      <c r="A465" s="1"/>
      <c r="B465" s="1"/>
      <c r="C465" s="1"/>
    </row>
    <row r="466" spans="1:3" ht="23.4">
      <c r="A466" s="1"/>
      <c r="B466" s="1"/>
      <c r="C466" s="1"/>
    </row>
    <row r="467" spans="1:3" ht="23.4">
      <c r="A467" s="1"/>
      <c r="B467" s="1"/>
      <c r="C467" s="1"/>
    </row>
    <row r="468" spans="1:3" ht="23.4">
      <c r="A468" s="1"/>
      <c r="B468" s="1"/>
      <c r="C468" s="1"/>
    </row>
    <row r="469" spans="1:3" ht="23.4">
      <c r="A469" s="1"/>
      <c r="B469" s="1"/>
      <c r="C469" s="1"/>
    </row>
    <row r="470" spans="1:3" ht="23.4">
      <c r="A470" s="1"/>
      <c r="B470" s="1"/>
      <c r="C470" s="1"/>
    </row>
    <row r="471" spans="1:3" ht="23.4">
      <c r="A471" s="1"/>
      <c r="B471" s="1"/>
      <c r="C471" s="1"/>
    </row>
    <row r="472" spans="1:3" ht="23.4">
      <c r="A472" s="1"/>
      <c r="B472" s="1"/>
      <c r="C472" s="1"/>
    </row>
    <row r="473" spans="1:3" ht="23.4">
      <c r="A473" s="1"/>
      <c r="B473" s="1"/>
      <c r="C473" s="1"/>
    </row>
    <row r="474" spans="1:3" ht="23.4">
      <c r="A474" s="1"/>
      <c r="B474" s="1"/>
      <c r="C474" s="1"/>
    </row>
    <row r="475" spans="1:3" ht="23.4">
      <c r="A475" s="1"/>
      <c r="B475" s="1"/>
      <c r="C475" s="1"/>
    </row>
    <row r="476" spans="1:3" ht="23.4">
      <c r="A476" s="1"/>
      <c r="B476" s="1"/>
      <c r="C476" s="1"/>
    </row>
    <row r="477" spans="1:3" ht="23.4">
      <c r="A477" s="1"/>
      <c r="B477" s="1"/>
      <c r="C477" s="1"/>
    </row>
    <row r="478" spans="1:3" ht="23.4">
      <c r="A478" s="1"/>
      <c r="B478" s="1"/>
      <c r="C478" s="1"/>
    </row>
    <row r="479" spans="1:3" ht="23.4">
      <c r="A479" s="1"/>
      <c r="B479" s="1"/>
      <c r="C479" s="1"/>
    </row>
    <row r="480" spans="1:3" ht="23.4">
      <c r="A480" s="1"/>
      <c r="B480" s="1"/>
      <c r="C480" s="1"/>
    </row>
    <row r="481" spans="1:3" ht="23.4">
      <c r="A481" s="1"/>
      <c r="B481" s="1"/>
      <c r="C481" s="1"/>
    </row>
    <row r="482" spans="1:3" ht="23.4">
      <c r="A482" s="1"/>
      <c r="B482" s="1"/>
      <c r="C482" s="1"/>
    </row>
    <row r="483" spans="1:3" ht="23.4">
      <c r="A483" s="1"/>
      <c r="B483" s="1"/>
      <c r="C483" s="1"/>
    </row>
    <row r="484" spans="1:3" ht="23.4">
      <c r="A484" s="1"/>
      <c r="B484" s="1"/>
      <c r="C484" s="1"/>
    </row>
    <row r="485" spans="1:3" ht="23.4">
      <c r="A485" s="1"/>
      <c r="B485" s="1"/>
      <c r="C485" s="1"/>
    </row>
    <row r="486" spans="1:3" ht="23.4">
      <c r="A486" s="1"/>
      <c r="B486" s="46"/>
      <c r="C486" s="1"/>
    </row>
    <row r="487" spans="1:3" ht="23.4">
      <c r="A487" s="1"/>
      <c r="B487" s="1"/>
      <c r="C487" s="1"/>
    </row>
    <row r="488" spans="1:3" ht="23.4">
      <c r="A488" s="1"/>
      <c r="B488" s="1"/>
      <c r="C488" s="1"/>
    </row>
    <row r="489" spans="1:3" ht="23.4">
      <c r="A489" s="1"/>
      <c r="B489" s="1"/>
      <c r="C489" s="1"/>
    </row>
    <row r="490" spans="1:3" ht="23.4">
      <c r="A490" s="1"/>
      <c r="B490" s="1"/>
      <c r="C490" s="1"/>
    </row>
    <row r="491" spans="1:3" ht="23.4">
      <c r="A491" s="1"/>
      <c r="B491" s="1"/>
      <c r="C491" s="1"/>
    </row>
    <row r="492" spans="1:3" ht="23.4">
      <c r="A492" s="1"/>
      <c r="B492" s="1"/>
      <c r="C492" s="1"/>
    </row>
    <row r="493" spans="1:3" ht="23.4">
      <c r="A493" s="1"/>
      <c r="B493" s="1"/>
      <c r="C493" s="1"/>
    </row>
    <row r="494" spans="1:3" ht="23.4">
      <c r="A494" s="1"/>
      <c r="B494" s="1"/>
      <c r="C494" s="1"/>
    </row>
    <row r="495" spans="1:3" ht="23.4">
      <c r="A495" s="5"/>
      <c r="B495" s="5"/>
      <c r="C495" s="1"/>
    </row>
    <row r="496" spans="1:3" ht="23.4">
      <c r="A496" s="1"/>
      <c r="B496" s="1"/>
      <c r="C496" s="1"/>
    </row>
    <row r="497" spans="1:3" ht="23.4">
      <c r="A497" s="1"/>
      <c r="B497" s="1"/>
      <c r="C497" s="1"/>
    </row>
    <row r="498" spans="1:3" ht="23.4">
      <c r="A498" s="1"/>
      <c r="B498" s="1"/>
      <c r="C498" s="1"/>
    </row>
    <row r="499" spans="1:3" ht="23.4">
      <c r="A499" s="1"/>
      <c r="B499" s="1"/>
      <c r="C499" s="1"/>
    </row>
    <row r="500" spans="1:3" ht="23.4">
      <c r="A500" s="1"/>
      <c r="B500" s="1"/>
      <c r="C500" s="1"/>
    </row>
    <row r="501" spans="1:3" ht="23.4">
      <c r="A501" s="21"/>
      <c r="B501" s="20"/>
      <c r="C501" s="1"/>
    </row>
    <row r="502" spans="1:3" ht="23.4">
      <c r="A502" s="1"/>
      <c r="B502" s="1"/>
      <c r="C502" s="1"/>
    </row>
    <row r="503" spans="1:3" ht="23.4">
      <c r="A503" s="1"/>
      <c r="B503" s="1"/>
      <c r="C503" s="1"/>
    </row>
    <row r="504" spans="1:3" ht="23.4">
      <c r="A504" s="1"/>
      <c r="B504" s="1"/>
      <c r="C504" s="1"/>
    </row>
    <row r="505" spans="1:3" ht="23.4">
      <c r="A505" s="1"/>
      <c r="B505" s="1"/>
      <c r="C505" s="1"/>
    </row>
    <row r="506" spans="1:3" ht="23.4">
      <c r="A506" s="1"/>
      <c r="B506" s="1"/>
      <c r="C506" s="1"/>
    </row>
    <row r="507" spans="1:3" ht="23.4">
      <c r="A507" s="1"/>
      <c r="B507" s="1"/>
      <c r="C507" s="1"/>
    </row>
    <row r="508" spans="1:3" ht="23.4">
      <c r="A508" s="1"/>
      <c r="B508" s="1"/>
      <c r="C508" s="1"/>
    </row>
    <row r="509" spans="1:3" ht="23.4">
      <c r="A509" s="1"/>
      <c r="B509" s="1"/>
      <c r="C509" s="1"/>
    </row>
    <row r="510" spans="1:3" ht="23.4">
      <c r="A510" s="1"/>
      <c r="B510" s="1"/>
      <c r="C510" s="1"/>
    </row>
    <row r="511" spans="1:3" ht="23.4">
      <c r="A511" s="1"/>
      <c r="B511" s="1"/>
      <c r="C511" s="1"/>
    </row>
    <row r="512" spans="1:3" ht="23.4">
      <c r="A512" s="1"/>
      <c r="B512" s="1"/>
      <c r="C51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91"/>
  <sheetViews>
    <sheetView zoomScaleNormal="100" workbookViewId="0">
      <pane ySplit="1" topLeftCell="A2" activePane="bottomLeft" state="frozen"/>
      <selection pane="bottomLeft" activeCell="C12" sqref="C12"/>
    </sheetView>
  </sheetViews>
  <sheetFormatPr defaultRowHeight="14.4"/>
  <cols>
    <col min="1" max="1" width="48.21875" customWidth="1"/>
    <col min="2" max="2" width="9.21875" customWidth="1"/>
    <col min="3" max="3" width="27.5546875" customWidth="1"/>
  </cols>
  <sheetData>
    <row r="1" spans="1:3" ht="23.4">
      <c r="A1" s="1" t="s">
        <v>5</v>
      </c>
      <c r="B1" s="1" t="s">
        <v>6</v>
      </c>
      <c r="C1" s="1" t="s">
        <v>7</v>
      </c>
    </row>
    <row r="2" spans="1:3" ht="18">
      <c r="A2" s="3"/>
      <c r="B2" s="2"/>
      <c r="C2" s="2"/>
    </row>
    <row r="3" spans="1:3" ht="18">
      <c r="A3" s="3" t="s">
        <v>43</v>
      </c>
      <c r="B3" s="2" t="s">
        <v>44</v>
      </c>
      <c r="C3" s="2"/>
    </row>
    <row r="4" spans="1:3" ht="18">
      <c r="A4" s="3" t="s">
        <v>47</v>
      </c>
      <c r="B4" s="2" t="s">
        <v>48</v>
      </c>
      <c r="C4" s="2"/>
    </row>
    <row r="5" spans="1:3" ht="18">
      <c r="A5" s="3" t="s">
        <v>49</v>
      </c>
      <c r="B5" s="2" t="s">
        <v>48</v>
      </c>
      <c r="C5" s="2"/>
    </row>
    <row r="6" spans="1:3" ht="18">
      <c r="A6" s="3"/>
      <c r="B6" s="2"/>
      <c r="C6" s="2"/>
    </row>
    <row r="7" spans="1:3" ht="18">
      <c r="A7" s="3"/>
      <c r="B7" s="2"/>
      <c r="C7" s="2"/>
    </row>
    <row r="8" spans="1:3" ht="18">
      <c r="A8" s="3"/>
      <c r="B8" s="2"/>
      <c r="C8" s="2"/>
    </row>
    <row r="9" spans="1:3" ht="18">
      <c r="A9" s="3"/>
      <c r="B9" s="2"/>
      <c r="C9" s="2"/>
    </row>
    <row r="10" spans="1:3" ht="18">
      <c r="A10" s="3"/>
      <c r="B10" s="2"/>
      <c r="C10" s="2"/>
    </row>
    <row r="11" spans="1:3" ht="18">
      <c r="A11" s="3"/>
      <c r="B11" s="2"/>
      <c r="C11" s="8"/>
    </row>
    <row r="12" spans="1:3" ht="18">
      <c r="A12" s="3"/>
      <c r="B12" s="2"/>
      <c r="C12" s="2"/>
    </row>
    <row r="13" spans="1:3" ht="18">
      <c r="A13" s="3"/>
      <c r="B13" s="2"/>
      <c r="C13" s="2"/>
    </row>
    <row r="14" spans="1:3" ht="18">
      <c r="A14" s="3"/>
      <c r="B14" s="2"/>
      <c r="C14" s="2"/>
    </row>
    <row r="15" spans="1:3" ht="18">
      <c r="A15" s="3"/>
      <c r="B15" s="2"/>
      <c r="C15" s="2"/>
    </row>
    <row r="16" spans="1:3" ht="18">
      <c r="A16" s="3"/>
      <c r="B16" s="2"/>
      <c r="C16" s="2"/>
    </row>
    <row r="17" spans="1:3" ht="18">
      <c r="A17" s="3"/>
      <c r="B17" s="2"/>
      <c r="C17" s="2"/>
    </row>
    <row r="18" spans="1:3" ht="18">
      <c r="A18" s="3"/>
      <c r="B18" s="2"/>
      <c r="C18" s="2"/>
    </row>
    <row r="19" spans="1:3" ht="18">
      <c r="A19" s="3"/>
      <c r="B19" s="2"/>
      <c r="C19" s="2"/>
    </row>
    <row r="20" spans="1:3" ht="18">
      <c r="A20" s="3"/>
      <c r="B20" s="2"/>
      <c r="C20" s="2"/>
    </row>
    <row r="21" spans="1:3" ht="18">
      <c r="A21" s="3"/>
      <c r="B21" s="2"/>
      <c r="C21" s="2"/>
    </row>
    <row r="22" spans="1:3" ht="18">
      <c r="A22" s="3"/>
      <c r="B22" s="2"/>
      <c r="C22" s="2"/>
    </row>
    <row r="23" spans="1:3" ht="18">
      <c r="A23" s="3"/>
      <c r="B23" s="2"/>
      <c r="C23" s="2"/>
    </row>
    <row r="24" spans="1:3" ht="18">
      <c r="A24" s="3"/>
      <c r="B24" s="2"/>
      <c r="C24" s="2"/>
    </row>
    <row r="25" spans="1:3" ht="18">
      <c r="A25" s="3"/>
      <c r="B25" s="2"/>
      <c r="C25" s="2"/>
    </row>
    <row r="26" spans="1:3" ht="18">
      <c r="A26" s="3"/>
      <c r="B26" s="2"/>
      <c r="C26" s="2"/>
    </row>
    <row r="27" spans="1:3" ht="18">
      <c r="A27" s="25"/>
      <c r="B27" s="26"/>
      <c r="C27" s="26"/>
    </row>
    <row r="28" spans="1:3" ht="18">
      <c r="A28" s="3"/>
      <c r="B28" s="2"/>
      <c r="C28" s="2"/>
    </row>
    <row r="29" spans="1:3" ht="18">
      <c r="A29" s="3"/>
      <c r="B29" s="2"/>
      <c r="C29" s="2"/>
    </row>
    <row r="30" spans="1:3" ht="18">
      <c r="A30" s="3"/>
      <c r="B30" s="2"/>
      <c r="C30" s="2"/>
    </row>
    <row r="31" spans="1:3" ht="18">
      <c r="A31" s="3"/>
      <c r="B31" s="2"/>
      <c r="C31" s="2"/>
    </row>
    <row r="32" spans="1:3" ht="18">
      <c r="A32" s="3"/>
      <c r="B32" s="2"/>
      <c r="C32" s="2"/>
    </row>
    <row r="33" spans="1:3" ht="18">
      <c r="A33" s="3"/>
      <c r="B33" s="2"/>
      <c r="C33" s="2"/>
    </row>
    <row r="34" spans="1:3" ht="18">
      <c r="A34" s="3"/>
      <c r="B34" s="2"/>
      <c r="C34" s="2"/>
    </row>
    <row r="35" spans="1:3" ht="18">
      <c r="A35" s="3"/>
      <c r="B35" s="2"/>
      <c r="C35" s="2"/>
    </row>
    <row r="36" spans="1:3" ht="18">
      <c r="A36" s="3"/>
      <c r="B36" s="2"/>
      <c r="C36" s="2"/>
    </row>
    <row r="37" spans="1:3" ht="18">
      <c r="A37" s="3"/>
      <c r="B37" s="2"/>
      <c r="C37" s="2"/>
    </row>
    <row r="38" spans="1:3" ht="18">
      <c r="A38" s="3"/>
      <c r="B38" s="2"/>
      <c r="C38" s="2"/>
    </row>
    <row r="39" spans="1:3" ht="18">
      <c r="A39" s="3"/>
      <c r="B39" s="2"/>
      <c r="C39" s="2"/>
    </row>
    <row r="40" spans="1:3" ht="18">
      <c r="A40" s="3"/>
      <c r="B40" s="2"/>
      <c r="C40" s="2"/>
    </row>
    <row r="41" spans="1:3" ht="18">
      <c r="A41" s="3"/>
      <c r="B41" s="2"/>
      <c r="C41" s="2"/>
    </row>
    <row r="42" spans="1:3" ht="18">
      <c r="A42" s="25"/>
      <c r="B42" s="26"/>
      <c r="C42" s="26"/>
    </row>
    <row r="43" spans="1:3" ht="18">
      <c r="A43" s="3"/>
      <c r="B43" s="2"/>
      <c r="C43" s="2"/>
    </row>
    <row r="44" spans="1:3" ht="18">
      <c r="A44" s="3"/>
      <c r="B44" s="2"/>
      <c r="C44" s="2"/>
    </row>
    <row r="45" spans="1:3" ht="18">
      <c r="A45" s="3"/>
      <c r="B45" s="2"/>
      <c r="C45" s="2"/>
    </row>
    <row r="46" spans="1:3" ht="18">
      <c r="A46" s="3"/>
      <c r="B46" s="2"/>
      <c r="C46" s="2"/>
    </row>
    <row r="47" spans="1:3" ht="18">
      <c r="A47" s="3"/>
      <c r="B47" s="2"/>
      <c r="C47" s="2"/>
    </row>
    <row r="48" spans="1:3" ht="18">
      <c r="A48" s="3"/>
      <c r="B48" s="2"/>
      <c r="C48" s="2"/>
    </row>
    <row r="49" spans="1:3" ht="18">
      <c r="A49" s="3"/>
      <c r="B49" s="2"/>
      <c r="C49" s="2"/>
    </row>
    <row r="50" spans="1:3" ht="18">
      <c r="A50" s="3"/>
      <c r="B50" s="2"/>
      <c r="C50" s="2"/>
    </row>
    <row r="51" spans="1:3" ht="18">
      <c r="A51" s="3"/>
      <c r="B51" s="2"/>
      <c r="C51" s="2"/>
    </row>
    <row r="52" spans="1:3" ht="18">
      <c r="A52" s="3"/>
      <c r="B52" s="2"/>
      <c r="C52" s="2"/>
    </row>
    <row r="53" spans="1:3" ht="18">
      <c r="A53" s="3"/>
      <c r="B53" s="2"/>
      <c r="C53" s="2"/>
    </row>
    <row r="54" spans="1:3" ht="18">
      <c r="A54" s="3"/>
      <c r="B54" s="2"/>
      <c r="C54" s="2"/>
    </row>
    <row r="55" spans="1:3" ht="18">
      <c r="A55" s="3"/>
      <c r="B55" s="2"/>
      <c r="C55" s="2"/>
    </row>
    <row r="56" spans="1:3" ht="18">
      <c r="A56" s="3"/>
      <c r="B56" s="2"/>
      <c r="C56" s="2"/>
    </row>
    <row r="57" spans="1:3" ht="18">
      <c r="A57" s="3"/>
      <c r="B57" s="2"/>
      <c r="C57" s="2"/>
    </row>
    <row r="58" spans="1:3" ht="18">
      <c r="A58" s="3"/>
      <c r="B58" s="2"/>
      <c r="C58" s="2"/>
    </row>
    <row r="59" spans="1:3" ht="18">
      <c r="A59" s="3"/>
      <c r="B59" s="2"/>
      <c r="C59" s="2"/>
    </row>
    <row r="60" spans="1:3" ht="18">
      <c r="A60" s="3"/>
      <c r="B60" s="2"/>
      <c r="C60" s="2"/>
    </row>
    <row r="61" spans="1:3" ht="18">
      <c r="A61" s="3"/>
      <c r="B61" s="2"/>
      <c r="C61" s="2"/>
    </row>
    <row r="62" spans="1:3" ht="18">
      <c r="A62" s="3"/>
      <c r="B62" s="2"/>
      <c r="C62" s="2"/>
    </row>
    <row r="63" spans="1:3" ht="18">
      <c r="A63" s="3"/>
      <c r="B63" s="2"/>
      <c r="C63" s="2"/>
    </row>
    <row r="64" spans="1:3" ht="18">
      <c r="A64" s="3"/>
      <c r="B64" s="2"/>
      <c r="C64" s="2"/>
    </row>
    <row r="65" spans="1:3" ht="18">
      <c r="A65" s="3"/>
      <c r="B65" s="2"/>
      <c r="C65" s="2"/>
    </row>
    <row r="66" spans="1:3" ht="18">
      <c r="A66" s="3"/>
      <c r="B66" s="2"/>
      <c r="C66" s="2"/>
    </row>
    <row r="67" spans="1:3" ht="18">
      <c r="A67" s="3"/>
      <c r="B67" s="2"/>
      <c r="C67" s="2"/>
    </row>
    <row r="68" spans="1:3" ht="18">
      <c r="A68" s="3"/>
      <c r="B68" s="2"/>
      <c r="C68" s="2"/>
    </row>
    <row r="69" spans="1:3" ht="18">
      <c r="A69" s="3"/>
      <c r="B69" s="2"/>
      <c r="C69" s="2"/>
    </row>
    <row r="70" spans="1:3" ht="18">
      <c r="A70" s="3"/>
      <c r="B70" s="2"/>
      <c r="C70" s="2"/>
    </row>
    <row r="71" spans="1:3" ht="18">
      <c r="A71" s="3"/>
      <c r="B71" s="2"/>
      <c r="C71" s="2"/>
    </row>
    <row r="72" spans="1:3" ht="18">
      <c r="A72" s="3"/>
      <c r="B72" s="2"/>
      <c r="C72" s="2"/>
    </row>
    <row r="73" spans="1:3" ht="18">
      <c r="A73" s="3"/>
      <c r="B73" s="2"/>
      <c r="C73" s="2"/>
    </row>
    <row r="74" spans="1:3" ht="18">
      <c r="A74" s="3"/>
      <c r="B74" s="2"/>
      <c r="C74" s="2"/>
    </row>
    <row r="75" spans="1:3" ht="18">
      <c r="A75" s="3"/>
      <c r="B75" s="2"/>
      <c r="C75" s="2"/>
    </row>
    <row r="76" spans="1:3" ht="18">
      <c r="A76" s="3"/>
      <c r="B76" s="2"/>
      <c r="C76" s="2"/>
    </row>
    <row r="77" spans="1:3" ht="18">
      <c r="A77" s="3"/>
      <c r="B77" s="2"/>
      <c r="C77" s="2"/>
    </row>
    <row r="78" spans="1:3" ht="18">
      <c r="A78" s="3"/>
      <c r="B78" s="2"/>
      <c r="C78" s="2"/>
    </row>
    <row r="79" spans="1:3" ht="18">
      <c r="A79" s="3"/>
      <c r="B79" s="2"/>
      <c r="C79" s="2"/>
    </row>
    <row r="80" spans="1:3" ht="18">
      <c r="A80" s="3"/>
      <c r="B80" s="2"/>
      <c r="C80" s="2"/>
    </row>
    <row r="81" spans="1:3" ht="18">
      <c r="A81" s="3"/>
      <c r="B81" s="2"/>
      <c r="C81" s="2"/>
    </row>
    <row r="82" spans="1:3" ht="18">
      <c r="A82" s="3"/>
      <c r="B82" s="2"/>
      <c r="C82" s="2"/>
    </row>
    <row r="83" spans="1:3" ht="18">
      <c r="A83" s="3"/>
      <c r="B83" s="2"/>
      <c r="C83" s="2"/>
    </row>
    <row r="84" spans="1:3" ht="18">
      <c r="A84" s="3"/>
      <c r="B84" s="2"/>
      <c r="C84" s="2"/>
    </row>
    <row r="85" spans="1:3" ht="18">
      <c r="A85" s="3"/>
      <c r="B85" s="2"/>
      <c r="C85" s="2"/>
    </row>
    <row r="86" spans="1:3" ht="18">
      <c r="A86" s="3"/>
      <c r="B86" s="2"/>
      <c r="C86" s="2"/>
    </row>
    <row r="87" spans="1:3" ht="18">
      <c r="A87" s="3"/>
      <c r="B87" s="2"/>
      <c r="C87" s="2"/>
    </row>
    <row r="88" spans="1:3" ht="18">
      <c r="A88" s="3"/>
      <c r="B88" s="2"/>
      <c r="C88" s="2"/>
    </row>
    <row r="89" spans="1:3" ht="18">
      <c r="A89" s="3"/>
      <c r="B89" s="2"/>
      <c r="C89" s="2"/>
    </row>
    <row r="90" spans="1:3" ht="18">
      <c r="A90" s="3"/>
      <c r="B90" s="2"/>
      <c r="C90" s="2"/>
    </row>
    <row r="91" spans="1:3" ht="18">
      <c r="A91" s="3"/>
      <c r="B91" s="2"/>
      <c r="C91" s="2"/>
    </row>
    <row r="92" spans="1:3" ht="18">
      <c r="A92" s="3"/>
      <c r="B92" s="2"/>
      <c r="C92" s="2"/>
    </row>
    <row r="93" spans="1:3" ht="18">
      <c r="A93" s="3"/>
      <c r="B93" s="2"/>
      <c r="C93" s="2"/>
    </row>
    <row r="94" spans="1:3" ht="18">
      <c r="A94" s="3"/>
      <c r="B94" s="2"/>
      <c r="C94" s="2"/>
    </row>
    <row r="95" spans="1:3" ht="18">
      <c r="A95" s="3"/>
      <c r="B95" s="2"/>
      <c r="C95" s="2"/>
    </row>
    <row r="96" spans="1:3" ht="18">
      <c r="A96" s="3"/>
      <c r="B96" s="2"/>
      <c r="C96" s="2"/>
    </row>
    <row r="97" spans="1:3" ht="18">
      <c r="A97" s="3"/>
      <c r="B97" s="2"/>
      <c r="C97" s="2"/>
    </row>
    <row r="98" spans="1:3" ht="18">
      <c r="A98" s="3"/>
      <c r="B98" s="2"/>
      <c r="C98" s="2"/>
    </row>
    <row r="99" spans="1:3" ht="18">
      <c r="A99" s="3"/>
      <c r="B99" s="2"/>
      <c r="C99" s="2"/>
    </row>
    <row r="100" spans="1:3" ht="18">
      <c r="A100" s="3"/>
      <c r="B100" s="2"/>
      <c r="C100" s="2"/>
    </row>
    <row r="101" spans="1:3" ht="18">
      <c r="A101" s="3"/>
      <c r="B101" s="2"/>
      <c r="C101" s="2"/>
    </row>
    <row r="102" spans="1:3" ht="18">
      <c r="A102" s="3"/>
      <c r="B102" s="2"/>
      <c r="C102" s="2"/>
    </row>
    <row r="103" spans="1:3" ht="18">
      <c r="A103" s="3"/>
      <c r="B103" s="2"/>
      <c r="C103" s="2"/>
    </row>
    <row r="104" spans="1:3" ht="18">
      <c r="A104" s="3"/>
      <c r="B104" s="2"/>
      <c r="C104" s="2"/>
    </row>
    <row r="105" spans="1:3" ht="18">
      <c r="A105" s="3"/>
      <c r="B105" s="2"/>
      <c r="C105" s="2"/>
    </row>
    <row r="106" spans="1:3" ht="18">
      <c r="A106" s="3"/>
      <c r="B106" s="2"/>
      <c r="C106" s="2"/>
    </row>
    <row r="107" spans="1:3" ht="18">
      <c r="A107" s="3"/>
      <c r="B107" s="2"/>
      <c r="C107" s="2"/>
    </row>
    <row r="108" spans="1:3" ht="18">
      <c r="A108" s="3"/>
      <c r="B108" s="2"/>
      <c r="C108" s="2"/>
    </row>
    <row r="109" spans="1:3" ht="18">
      <c r="A109" s="3"/>
      <c r="B109" s="2"/>
      <c r="C109" s="2"/>
    </row>
    <row r="110" spans="1:3" ht="18">
      <c r="A110" s="3"/>
      <c r="B110" s="2"/>
      <c r="C110" s="2"/>
    </row>
    <row r="111" spans="1:3" ht="18">
      <c r="A111" s="3"/>
      <c r="B111" s="2"/>
      <c r="C111" s="2"/>
    </row>
    <row r="112" spans="1:3" ht="18">
      <c r="A112" s="3"/>
      <c r="B112" s="2"/>
      <c r="C112" s="2"/>
    </row>
    <row r="113" spans="1:3" ht="18">
      <c r="A113" s="3"/>
      <c r="B113" s="2"/>
      <c r="C113" s="2"/>
    </row>
    <row r="114" spans="1:3" ht="18">
      <c r="A114" s="3"/>
      <c r="B114" s="2"/>
      <c r="C114" s="2"/>
    </row>
    <row r="115" spans="1:3" ht="18">
      <c r="A115" s="3"/>
      <c r="B115" s="2"/>
      <c r="C115" s="2"/>
    </row>
    <row r="116" spans="1:3" ht="18">
      <c r="A116" s="3"/>
      <c r="B116" s="2"/>
      <c r="C116" s="2"/>
    </row>
    <row r="117" spans="1:3" ht="18">
      <c r="A117" s="25"/>
      <c r="B117" s="26"/>
      <c r="C117" s="26"/>
    </row>
    <row r="118" spans="1:3" ht="18">
      <c r="A118" s="25"/>
      <c r="B118" s="26"/>
      <c r="C118" s="26"/>
    </row>
    <row r="119" spans="1:3" ht="18">
      <c r="A119" s="25"/>
      <c r="B119" s="26"/>
      <c r="C119" s="26"/>
    </row>
    <row r="120" spans="1:3" ht="18">
      <c r="A120" s="3"/>
      <c r="B120" s="2"/>
      <c r="C120" s="2"/>
    </row>
    <row r="121" spans="1:3" ht="18">
      <c r="A121" s="3"/>
      <c r="B121" s="2"/>
      <c r="C121" s="2"/>
    </row>
    <row r="122" spans="1:3" ht="18">
      <c r="A122" s="3"/>
      <c r="B122" s="2"/>
      <c r="C122" s="2"/>
    </row>
    <row r="123" spans="1:3" ht="18">
      <c r="A123" s="3"/>
      <c r="B123" s="2"/>
      <c r="C123" s="2"/>
    </row>
    <row r="124" spans="1:3" ht="18">
      <c r="A124" s="3"/>
      <c r="B124" s="2"/>
      <c r="C124" s="2"/>
    </row>
    <row r="125" spans="1:3" ht="18">
      <c r="A125" s="3"/>
      <c r="B125" s="2"/>
      <c r="C125" s="8"/>
    </row>
    <row r="126" spans="1:3" ht="18">
      <c r="A126" s="3"/>
      <c r="B126" s="2"/>
      <c r="C126" s="2"/>
    </row>
    <row r="127" spans="1:3" ht="18">
      <c r="A127" s="3"/>
      <c r="B127" s="2"/>
      <c r="C127" s="2"/>
    </row>
    <row r="128" spans="1:3" ht="18">
      <c r="A128" s="3"/>
      <c r="B128" s="2"/>
      <c r="C128" s="2"/>
    </row>
    <row r="129" spans="1:3" ht="18">
      <c r="A129" s="3"/>
      <c r="B129" s="2"/>
      <c r="C129" s="2"/>
    </row>
    <row r="130" spans="1:3" ht="18">
      <c r="A130" s="3"/>
      <c r="B130" s="2"/>
      <c r="C130" s="2"/>
    </row>
    <row r="131" spans="1:3" ht="18">
      <c r="A131" s="3"/>
      <c r="B131" s="2"/>
      <c r="C131" s="2"/>
    </row>
    <row r="132" spans="1:3" ht="18">
      <c r="A132" s="3"/>
      <c r="B132" s="2"/>
      <c r="C132" s="2"/>
    </row>
    <row r="133" spans="1:3" ht="18">
      <c r="A133" s="7"/>
      <c r="B133" s="8"/>
      <c r="C133" s="8"/>
    </row>
    <row r="134" spans="1:3" ht="18">
      <c r="A134" s="3"/>
      <c r="B134" s="2"/>
      <c r="C134" s="2"/>
    </row>
    <row r="135" spans="1:3" ht="18">
      <c r="A135" s="3"/>
      <c r="B135" s="2"/>
      <c r="C135" s="2"/>
    </row>
    <row r="136" spans="1:3" ht="18">
      <c r="A136" s="3"/>
      <c r="B136" s="2"/>
      <c r="C136" s="2"/>
    </row>
    <row r="137" spans="1:3" ht="18">
      <c r="A137" s="3"/>
      <c r="B137" s="2"/>
      <c r="C137" s="2"/>
    </row>
    <row r="138" spans="1:3" ht="18">
      <c r="A138" s="3"/>
      <c r="B138" s="2"/>
      <c r="C138" s="2"/>
    </row>
    <row r="139" spans="1:3" ht="18">
      <c r="A139" s="3"/>
      <c r="B139" s="2"/>
      <c r="C139" s="2"/>
    </row>
    <row r="140" spans="1:3" ht="18">
      <c r="A140" s="3"/>
      <c r="B140" s="2"/>
      <c r="C140" s="2"/>
    </row>
    <row r="141" spans="1:3" ht="18">
      <c r="A141" s="3"/>
      <c r="B141" s="2"/>
      <c r="C141" s="2"/>
    </row>
    <row r="142" spans="1:3" ht="18">
      <c r="A142" s="3"/>
      <c r="B142" s="2"/>
      <c r="C142" s="2"/>
    </row>
    <row r="143" spans="1:3" ht="18">
      <c r="A143" s="3"/>
      <c r="B143" s="2"/>
      <c r="C143" s="2"/>
    </row>
    <row r="144" spans="1:3" ht="18">
      <c r="A144" s="3"/>
      <c r="B144" s="2"/>
      <c r="C144" s="2"/>
    </row>
    <row r="145" spans="1:3" ht="18">
      <c r="A145" s="3"/>
      <c r="B145" s="2"/>
      <c r="C145" s="2"/>
    </row>
    <row r="146" spans="1:3" ht="18">
      <c r="A146" s="3"/>
      <c r="B146" s="2"/>
      <c r="C146" s="2"/>
    </row>
    <row r="147" spans="1:3" ht="18">
      <c r="A147" s="3"/>
      <c r="B147" s="2"/>
      <c r="C147" s="2"/>
    </row>
    <row r="148" spans="1:3" ht="18">
      <c r="A148" s="3"/>
      <c r="B148" s="2"/>
      <c r="C148" s="2"/>
    </row>
    <row r="149" spans="1:3" ht="18">
      <c r="A149" s="3"/>
      <c r="B149" s="2"/>
      <c r="C149" s="2"/>
    </row>
    <row r="150" spans="1:3" ht="18">
      <c r="A150" s="3"/>
      <c r="B150" s="2"/>
      <c r="C150" s="2"/>
    </row>
    <row r="151" spans="1:3" ht="18">
      <c r="A151" s="3"/>
      <c r="B151" s="2"/>
      <c r="C151" s="2"/>
    </row>
    <row r="152" spans="1:3" ht="18">
      <c r="A152" s="3"/>
      <c r="B152" s="2"/>
      <c r="C152" s="2"/>
    </row>
    <row r="153" spans="1:3" ht="18">
      <c r="A153" s="3"/>
      <c r="B153" s="2"/>
      <c r="C153" s="2"/>
    </row>
    <row r="154" spans="1:3" ht="18">
      <c r="A154" s="3"/>
      <c r="B154" s="2"/>
      <c r="C154" s="2"/>
    </row>
    <row r="155" spans="1:3" ht="18">
      <c r="A155" s="56"/>
      <c r="B155" s="57"/>
      <c r="C155" s="57"/>
    </row>
    <row r="156" spans="1:3" ht="18">
      <c r="A156" s="3"/>
      <c r="B156" s="2"/>
      <c r="C156" s="2"/>
    </row>
    <row r="157" spans="1:3" ht="18">
      <c r="A157" s="3"/>
      <c r="B157" s="2"/>
      <c r="C157" s="2"/>
    </row>
    <row r="158" spans="1:3" ht="18">
      <c r="A158" s="3"/>
      <c r="B158" s="2"/>
      <c r="C158" s="2"/>
    </row>
    <row r="159" spans="1:3" ht="18">
      <c r="A159" s="3"/>
      <c r="B159" s="2"/>
      <c r="C159" s="2"/>
    </row>
    <row r="160" spans="1:3" ht="18">
      <c r="A160" s="3"/>
      <c r="B160" s="2"/>
      <c r="C160" s="2"/>
    </row>
    <row r="161" spans="1:3" ht="18">
      <c r="A161" s="3"/>
      <c r="B161" s="2"/>
      <c r="C161" s="8"/>
    </row>
    <row r="162" spans="1:3" ht="18">
      <c r="A162" s="3"/>
      <c r="B162" s="2"/>
      <c r="C162" s="2"/>
    </row>
    <row r="163" spans="1:3" ht="18">
      <c r="A163" s="3"/>
      <c r="B163" s="2"/>
      <c r="C163" s="2"/>
    </row>
    <row r="164" spans="1:3" ht="18">
      <c r="A164" s="3"/>
      <c r="B164" s="2"/>
      <c r="C164" s="2"/>
    </row>
    <row r="165" spans="1:3" ht="18">
      <c r="A165" s="3"/>
      <c r="B165" s="2"/>
      <c r="C165" s="2"/>
    </row>
    <row r="166" spans="1:3" ht="18">
      <c r="A166" s="3"/>
      <c r="B166" s="2"/>
      <c r="C166" s="2"/>
    </row>
    <row r="167" spans="1:3" ht="18">
      <c r="A167" s="3"/>
      <c r="B167" s="2"/>
      <c r="C167" s="2"/>
    </row>
    <row r="168" spans="1:3" ht="18">
      <c r="A168" s="25"/>
      <c r="B168" s="26"/>
      <c r="C168" s="26"/>
    </row>
    <row r="169" spans="1:3" ht="18">
      <c r="A169" s="25"/>
      <c r="B169" s="26"/>
      <c r="C169" s="26"/>
    </row>
    <row r="170" spans="1:3" ht="18">
      <c r="A170" s="25"/>
      <c r="B170" s="26"/>
      <c r="C170" s="26"/>
    </row>
    <row r="171" spans="1:3" ht="18">
      <c r="A171" s="3"/>
      <c r="B171" s="2"/>
      <c r="C171" s="2"/>
    </row>
    <row r="172" spans="1:3" ht="18">
      <c r="A172" s="3"/>
      <c r="B172" s="2"/>
      <c r="C172" s="2"/>
    </row>
    <row r="173" spans="1:3" ht="18">
      <c r="A173" s="3"/>
      <c r="B173" s="2"/>
      <c r="C173" s="2"/>
    </row>
    <row r="174" spans="1:3" ht="18">
      <c r="A174" s="3"/>
      <c r="B174" s="2"/>
      <c r="C174" s="2"/>
    </row>
    <row r="175" spans="1:3" ht="18">
      <c r="A175" s="3"/>
      <c r="B175" s="2"/>
      <c r="C175" s="2"/>
    </row>
    <row r="176" spans="1:3" ht="18">
      <c r="A176" s="3"/>
      <c r="B176" s="2"/>
      <c r="C176" s="2"/>
    </row>
    <row r="177" spans="1:3" ht="18">
      <c r="A177" s="3"/>
      <c r="B177" s="2"/>
      <c r="C177" s="2"/>
    </row>
    <row r="178" spans="1:3" ht="18">
      <c r="A178" s="3"/>
      <c r="B178" s="2"/>
      <c r="C178" s="2"/>
    </row>
    <row r="179" spans="1:3" ht="18">
      <c r="A179" s="3"/>
      <c r="B179" s="2"/>
      <c r="C179" s="2"/>
    </row>
    <row r="180" spans="1:3" ht="18">
      <c r="A180" s="3"/>
      <c r="B180" s="2"/>
      <c r="C180" s="2"/>
    </row>
    <row r="181" spans="1:3" ht="18">
      <c r="A181" s="3"/>
      <c r="B181" s="2"/>
      <c r="C181" s="2"/>
    </row>
    <row r="182" spans="1:3" ht="18">
      <c r="A182" s="3"/>
      <c r="B182" s="2"/>
      <c r="C182" s="2"/>
    </row>
    <row r="183" spans="1:3" ht="18">
      <c r="A183" s="3"/>
      <c r="B183" s="2"/>
      <c r="C183" s="2"/>
    </row>
    <row r="184" spans="1:3" ht="18">
      <c r="A184" s="3"/>
      <c r="B184" s="2"/>
      <c r="C184" s="2"/>
    </row>
    <row r="185" spans="1:3" ht="18">
      <c r="A185" s="3"/>
      <c r="B185" s="2"/>
      <c r="C185" s="2"/>
    </row>
    <row r="186" spans="1:3" ht="18">
      <c r="A186" s="3"/>
      <c r="B186" s="2"/>
      <c r="C186" s="2"/>
    </row>
    <row r="187" spans="1:3" ht="18">
      <c r="A187" s="3"/>
      <c r="B187" s="2"/>
      <c r="C187" s="2"/>
    </row>
    <row r="188" spans="1:3" ht="18">
      <c r="A188" s="3"/>
      <c r="B188" s="2"/>
      <c r="C188" s="2"/>
    </row>
    <row r="189" spans="1:3" ht="18">
      <c r="A189" s="3"/>
      <c r="B189" s="2"/>
      <c r="C189" s="2"/>
    </row>
    <row r="190" spans="1:3" ht="18">
      <c r="A190" s="3"/>
      <c r="B190" s="2"/>
      <c r="C190" s="2"/>
    </row>
    <row r="191" spans="1:3" ht="18">
      <c r="A191" s="3"/>
      <c r="B191" s="2"/>
      <c r="C191" s="2"/>
    </row>
  </sheetData>
  <conditionalFormatting sqref="A1:A5">
    <cfRule type="duplicateValues" dxfId="14" priority="7"/>
  </conditionalFormatting>
  <pageMargins left="0.7" right="0.7" top="0.75" bottom="0.75" header="0.3" footer="0.3"/>
  <pageSetup paperSize="1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"/>
  <sheetViews>
    <sheetView workbookViewId="0">
      <pane ySplit="1" topLeftCell="A2" activePane="bottomLeft" state="frozen"/>
      <selection pane="bottomLeft" activeCell="D11" sqref="D11"/>
    </sheetView>
  </sheetViews>
  <sheetFormatPr defaultRowHeight="14.4"/>
  <cols>
    <col min="1" max="1" width="42" customWidth="1"/>
    <col min="2" max="2" width="35.21875" customWidth="1"/>
  </cols>
  <sheetData>
    <row r="1" spans="1:4" ht="32.1" customHeight="1">
      <c r="A1" s="4" t="s">
        <v>14</v>
      </c>
      <c r="B1" s="4" t="s">
        <v>23</v>
      </c>
      <c r="C1" s="4"/>
      <c r="D1" s="4"/>
    </row>
    <row r="2" spans="1:4" ht="23.4">
      <c r="A2" s="6"/>
      <c r="B2" s="6"/>
    </row>
    <row r="3" spans="1:4" ht="23.4">
      <c r="A3" s="6"/>
      <c r="B3" s="6"/>
    </row>
  </sheetData>
  <pageMargins left="0.7" right="0.7" top="0.75" bottom="0.75" header="0.3" footer="0.3"/>
  <pageSetup paperSize="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C9E6B-FB28-427A-8548-CC8698C2049E}">
  <sheetPr codeName="Sheet5"/>
  <dimension ref="A1:G309"/>
  <sheetViews>
    <sheetView zoomScale="141" zoomScaleNormal="141" workbookViewId="0">
      <pane ySplit="1" topLeftCell="A2" activePane="bottomLeft" state="frozen"/>
      <selection pane="bottomLeft" activeCell="G9" sqref="G9"/>
    </sheetView>
  </sheetViews>
  <sheetFormatPr defaultRowHeight="14.4"/>
  <cols>
    <col min="1" max="1" width="9.21875" customWidth="1"/>
    <col min="2" max="2" width="44.21875" bestFit="1" customWidth="1"/>
    <col min="3" max="3" width="10.77734375" bestFit="1" customWidth="1"/>
    <col min="4" max="4" width="13.21875" customWidth="1"/>
    <col min="5" max="5" width="6.77734375" bestFit="1" customWidth="1"/>
    <col min="6" max="6" width="20.77734375" bestFit="1" customWidth="1"/>
    <col min="7" max="7" width="21.77734375" bestFit="1" customWidth="1"/>
  </cols>
  <sheetData>
    <row r="1" spans="1:7">
      <c r="A1" s="59" t="s">
        <v>27</v>
      </c>
      <c r="B1" s="59" t="s">
        <v>28</v>
      </c>
      <c r="C1" s="59" t="s">
        <v>29</v>
      </c>
      <c r="D1" s="59" t="s">
        <v>30</v>
      </c>
      <c r="E1" s="59" t="s">
        <v>31</v>
      </c>
      <c r="F1" s="59" t="s">
        <v>32</v>
      </c>
      <c r="G1" s="59" t="s">
        <v>33</v>
      </c>
    </row>
    <row r="2" spans="1:7">
      <c r="C2" s="62"/>
      <c r="D2" s="58"/>
    </row>
    <row r="3" spans="1:7">
      <c r="C3" s="62"/>
      <c r="D3" s="58"/>
    </row>
    <row r="4" spans="1:7">
      <c r="C4" s="62"/>
      <c r="D4" s="58"/>
    </row>
    <row r="5" spans="1:7">
      <c r="C5" s="62"/>
      <c r="D5" s="58"/>
    </row>
    <row r="6" spans="1:7">
      <c r="C6" s="62"/>
      <c r="D6" s="58"/>
    </row>
    <row r="7" spans="1:7">
      <c r="C7" s="62"/>
      <c r="D7" s="58"/>
    </row>
    <row r="8" spans="1:7">
      <c r="C8" s="62"/>
      <c r="D8" s="58"/>
    </row>
    <row r="9" spans="1:7">
      <c r="C9" s="62"/>
      <c r="D9" s="58"/>
    </row>
    <row r="10" spans="1:7">
      <c r="C10" s="62"/>
      <c r="D10" s="58"/>
    </row>
    <row r="11" spans="1:7">
      <c r="C11" s="62"/>
      <c r="D11" s="58"/>
    </row>
    <row r="12" spans="1:7">
      <c r="C12" s="62"/>
      <c r="D12" s="58"/>
    </row>
    <row r="13" spans="1:7">
      <c r="C13" s="62"/>
      <c r="D13" s="58"/>
    </row>
    <row r="14" spans="1:7">
      <c r="C14" s="62"/>
      <c r="D14" s="58"/>
    </row>
    <row r="15" spans="1:7">
      <c r="C15" s="62"/>
      <c r="D15" s="58"/>
    </row>
    <row r="16" spans="1:7">
      <c r="C16" s="62"/>
      <c r="D16" s="58"/>
    </row>
    <row r="17" spans="3:4">
      <c r="C17" s="62"/>
      <c r="D17" s="58"/>
    </row>
    <row r="18" spans="3:4">
      <c r="C18" s="62"/>
      <c r="D18" s="58"/>
    </row>
    <row r="19" spans="3:4">
      <c r="C19" s="62"/>
      <c r="D19" s="58"/>
    </row>
    <row r="20" spans="3:4">
      <c r="C20" s="62"/>
      <c r="D20" s="58"/>
    </row>
    <row r="21" spans="3:4">
      <c r="C21" s="62"/>
      <c r="D21" s="58"/>
    </row>
    <row r="22" spans="3:4">
      <c r="C22" s="62"/>
      <c r="D22" s="58"/>
    </row>
    <row r="23" spans="3:4">
      <c r="C23" s="62"/>
      <c r="D23" s="58"/>
    </row>
    <row r="24" spans="3:4">
      <c r="C24" s="62"/>
      <c r="D24" s="58"/>
    </row>
    <row r="25" spans="3:4">
      <c r="C25" s="62"/>
      <c r="D25" s="58"/>
    </row>
    <row r="26" spans="3:4">
      <c r="C26" s="62"/>
      <c r="D26" s="58"/>
    </row>
    <row r="27" spans="3:4">
      <c r="C27" s="62"/>
      <c r="D27" s="58"/>
    </row>
    <row r="28" spans="3:4">
      <c r="C28" s="62"/>
      <c r="D28" s="58"/>
    </row>
    <row r="29" spans="3:4">
      <c r="C29" s="62"/>
      <c r="D29" s="58"/>
    </row>
    <row r="30" spans="3:4">
      <c r="C30" s="62"/>
      <c r="D30" s="58"/>
    </row>
    <row r="31" spans="3:4">
      <c r="C31" s="62"/>
      <c r="D31" s="58"/>
    </row>
    <row r="32" spans="3:4">
      <c r="C32" s="62"/>
      <c r="D32" s="58"/>
    </row>
    <row r="33" spans="3:4">
      <c r="C33" s="62"/>
      <c r="D33" s="58"/>
    </row>
    <row r="34" spans="3:4">
      <c r="C34" s="62"/>
      <c r="D34" s="58"/>
    </row>
    <row r="35" spans="3:4">
      <c r="C35" s="62"/>
      <c r="D35" s="58"/>
    </row>
    <row r="36" spans="3:4">
      <c r="C36" s="62"/>
      <c r="D36" s="58"/>
    </row>
    <row r="37" spans="3:4">
      <c r="C37" s="62"/>
      <c r="D37" s="58"/>
    </row>
    <row r="38" spans="3:4">
      <c r="C38" s="62"/>
      <c r="D38" s="58"/>
    </row>
    <row r="39" spans="3:4">
      <c r="C39" s="62"/>
      <c r="D39" s="58"/>
    </row>
    <row r="40" spans="3:4">
      <c r="C40" s="62"/>
      <c r="D40" s="58"/>
    </row>
    <row r="41" spans="3:4">
      <c r="C41" s="62"/>
      <c r="D41" s="58"/>
    </row>
    <row r="42" spans="3:4">
      <c r="C42" s="62"/>
      <c r="D42" s="58"/>
    </row>
    <row r="43" spans="3:4">
      <c r="C43" s="62"/>
      <c r="D43" s="58"/>
    </row>
    <row r="44" spans="3:4">
      <c r="C44" s="62"/>
      <c r="D44" s="58"/>
    </row>
    <row r="45" spans="3:4">
      <c r="C45" s="62"/>
      <c r="D45" s="58"/>
    </row>
    <row r="46" spans="3:4">
      <c r="C46" s="62"/>
      <c r="D46" s="58"/>
    </row>
    <row r="47" spans="3:4">
      <c r="C47" s="62"/>
      <c r="D47" s="58"/>
    </row>
    <row r="48" spans="3:4">
      <c r="C48" s="62"/>
      <c r="D48" s="58"/>
    </row>
    <row r="49" spans="3:4">
      <c r="C49" s="62"/>
      <c r="D49" s="58"/>
    </row>
    <row r="50" spans="3:4">
      <c r="C50" s="62"/>
      <c r="D50" s="58"/>
    </row>
    <row r="51" spans="3:4">
      <c r="C51" s="62"/>
      <c r="D51" s="58"/>
    </row>
    <row r="52" spans="3:4">
      <c r="C52" s="62"/>
      <c r="D52" s="58"/>
    </row>
    <row r="53" spans="3:4">
      <c r="C53" s="62"/>
      <c r="D53" s="58"/>
    </row>
    <row r="54" spans="3:4">
      <c r="C54" s="62"/>
      <c r="D54" s="58"/>
    </row>
    <row r="55" spans="3:4">
      <c r="C55" s="62"/>
      <c r="D55" s="58"/>
    </row>
    <row r="56" spans="3:4">
      <c r="C56" s="62"/>
      <c r="D56" s="58"/>
    </row>
    <row r="57" spans="3:4">
      <c r="C57" s="62"/>
      <c r="D57" s="58"/>
    </row>
    <row r="58" spans="3:4">
      <c r="C58" s="62"/>
      <c r="D58" s="58"/>
    </row>
    <row r="59" spans="3:4">
      <c r="C59" s="62"/>
      <c r="D59" s="58"/>
    </row>
    <row r="60" spans="3:4">
      <c r="C60" s="62"/>
      <c r="D60" s="58"/>
    </row>
    <row r="61" spans="3:4">
      <c r="C61" s="62"/>
      <c r="D61" s="58"/>
    </row>
    <row r="62" spans="3:4">
      <c r="C62" s="62"/>
      <c r="D62" s="58"/>
    </row>
    <row r="63" spans="3:4">
      <c r="C63" s="62"/>
      <c r="D63" s="58"/>
    </row>
    <row r="64" spans="3:4">
      <c r="C64" s="62"/>
      <c r="D64" s="58"/>
    </row>
    <row r="65" spans="3:4">
      <c r="C65" s="62"/>
      <c r="D65" s="58"/>
    </row>
    <row r="66" spans="3:4">
      <c r="C66" s="62"/>
      <c r="D66" s="58"/>
    </row>
    <row r="67" spans="3:4">
      <c r="C67" s="62"/>
      <c r="D67" s="58"/>
    </row>
    <row r="68" spans="3:4">
      <c r="C68" s="62"/>
      <c r="D68" s="58"/>
    </row>
    <row r="69" spans="3:4">
      <c r="C69" s="62"/>
      <c r="D69" s="58"/>
    </row>
    <row r="70" spans="3:4">
      <c r="C70" s="62"/>
      <c r="D70" s="58"/>
    </row>
    <row r="71" spans="3:4">
      <c r="C71" s="62"/>
      <c r="D71" s="58"/>
    </row>
    <row r="72" spans="3:4">
      <c r="C72" s="62"/>
      <c r="D72" s="58"/>
    </row>
    <row r="73" spans="3:4">
      <c r="C73" s="62"/>
      <c r="D73" s="58"/>
    </row>
    <row r="74" spans="3:4">
      <c r="C74" s="62"/>
      <c r="D74" s="58"/>
    </row>
    <row r="75" spans="3:4">
      <c r="C75" s="62"/>
      <c r="D75" s="58"/>
    </row>
    <row r="76" spans="3:4">
      <c r="C76" s="62"/>
      <c r="D76" s="58"/>
    </row>
    <row r="77" spans="3:4">
      <c r="C77" s="62"/>
      <c r="D77" s="58"/>
    </row>
    <row r="78" spans="3:4">
      <c r="C78" s="62"/>
      <c r="D78" s="58"/>
    </row>
    <row r="79" spans="3:4">
      <c r="C79" s="62"/>
      <c r="D79" s="58"/>
    </row>
    <row r="80" spans="3:4">
      <c r="C80" s="62"/>
      <c r="D80" s="58"/>
    </row>
    <row r="81" spans="3:4">
      <c r="C81" s="62"/>
      <c r="D81" s="58"/>
    </row>
    <row r="82" spans="3:4">
      <c r="C82" s="62"/>
      <c r="D82" s="58"/>
    </row>
    <row r="83" spans="3:4">
      <c r="C83" s="62"/>
      <c r="D83" s="58"/>
    </row>
    <row r="84" spans="3:4">
      <c r="C84" s="62"/>
      <c r="D84" s="58"/>
    </row>
    <row r="85" spans="3:4">
      <c r="C85" s="62"/>
      <c r="D85" s="58"/>
    </row>
    <row r="86" spans="3:4">
      <c r="C86" s="62"/>
      <c r="D86" s="58"/>
    </row>
    <row r="87" spans="3:4">
      <c r="C87" s="62"/>
      <c r="D87" s="58"/>
    </row>
    <row r="88" spans="3:4">
      <c r="C88" s="62"/>
      <c r="D88" s="58"/>
    </row>
    <row r="89" spans="3:4">
      <c r="C89" s="62"/>
      <c r="D89" s="58"/>
    </row>
    <row r="90" spans="3:4">
      <c r="C90" s="62"/>
      <c r="D90" s="58"/>
    </row>
    <row r="91" spans="3:4">
      <c r="C91" s="62"/>
      <c r="D91" s="58"/>
    </row>
    <row r="92" spans="3:4">
      <c r="C92" s="62"/>
      <c r="D92" s="58"/>
    </row>
    <row r="93" spans="3:4">
      <c r="C93" s="62"/>
      <c r="D93" s="58"/>
    </row>
    <row r="94" spans="3:4">
      <c r="C94" s="62"/>
      <c r="D94" s="58"/>
    </row>
    <row r="95" spans="3:4">
      <c r="C95" s="62"/>
      <c r="D95" s="58"/>
    </row>
    <row r="96" spans="3:4">
      <c r="C96" s="62"/>
      <c r="D96" s="58"/>
    </row>
    <row r="97" spans="3:4">
      <c r="C97" s="62"/>
      <c r="D97" s="58"/>
    </row>
    <row r="98" spans="3:4">
      <c r="C98" s="62"/>
      <c r="D98" s="58"/>
    </row>
    <row r="99" spans="3:4">
      <c r="C99" s="62"/>
      <c r="D99" s="58"/>
    </row>
    <row r="100" spans="3:4">
      <c r="C100" s="62"/>
      <c r="D100" s="58"/>
    </row>
    <row r="101" spans="3:4">
      <c r="C101" s="62"/>
      <c r="D101" s="58"/>
    </row>
    <row r="102" spans="3:4">
      <c r="C102" s="62"/>
      <c r="D102" s="58"/>
    </row>
    <row r="103" spans="3:4">
      <c r="C103" s="62"/>
      <c r="D103" s="58"/>
    </row>
    <row r="104" spans="3:4">
      <c r="C104" s="62"/>
      <c r="D104" s="58"/>
    </row>
    <row r="105" spans="3:4">
      <c r="C105" s="62"/>
      <c r="D105" s="58"/>
    </row>
    <row r="106" spans="3:4">
      <c r="C106" s="62"/>
      <c r="D106" s="58"/>
    </row>
    <row r="107" spans="3:4">
      <c r="C107" s="62"/>
      <c r="D107" s="58"/>
    </row>
    <row r="108" spans="3:4">
      <c r="C108" s="62"/>
      <c r="D108" s="58"/>
    </row>
    <row r="109" spans="3:4">
      <c r="C109" s="62"/>
      <c r="D109" s="58"/>
    </row>
    <row r="110" spans="3:4">
      <c r="C110" s="62"/>
      <c r="D110" s="58"/>
    </row>
    <row r="111" spans="3:4">
      <c r="C111" s="62"/>
      <c r="D111" s="58"/>
    </row>
    <row r="112" spans="3:4">
      <c r="C112" s="62"/>
      <c r="D112" s="58"/>
    </row>
    <row r="113" spans="3:4">
      <c r="C113" s="62"/>
      <c r="D113" s="58"/>
    </row>
    <row r="114" spans="3:4">
      <c r="C114" s="62"/>
      <c r="D114" s="58"/>
    </row>
    <row r="115" spans="3:4">
      <c r="C115" s="62"/>
      <c r="D115" s="58"/>
    </row>
    <row r="116" spans="3:4">
      <c r="C116" s="62"/>
      <c r="D116" s="58"/>
    </row>
    <row r="117" spans="3:4">
      <c r="C117" s="62"/>
      <c r="D117" s="58"/>
    </row>
    <row r="118" spans="3:4">
      <c r="C118" s="62"/>
      <c r="D118" s="58"/>
    </row>
    <row r="119" spans="3:4">
      <c r="C119" s="62"/>
      <c r="D119" s="58"/>
    </row>
    <row r="120" spans="3:4">
      <c r="C120" s="62"/>
      <c r="D120" s="58"/>
    </row>
    <row r="121" spans="3:4">
      <c r="C121" s="62"/>
      <c r="D121" s="58"/>
    </row>
    <row r="122" spans="3:4">
      <c r="C122" s="62"/>
      <c r="D122" s="58"/>
    </row>
    <row r="123" spans="3:4">
      <c r="C123" s="62"/>
      <c r="D123" s="58"/>
    </row>
    <row r="124" spans="3:4">
      <c r="C124" s="62"/>
      <c r="D124" s="58"/>
    </row>
    <row r="125" spans="3:4">
      <c r="C125" s="62"/>
      <c r="D125" s="58"/>
    </row>
    <row r="126" spans="3:4">
      <c r="C126" s="62"/>
      <c r="D126" s="58"/>
    </row>
    <row r="127" spans="3:4">
      <c r="C127" s="62"/>
      <c r="D127" s="58"/>
    </row>
    <row r="128" spans="3:4">
      <c r="C128" s="62"/>
      <c r="D128" s="58"/>
    </row>
    <row r="129" spans="3:4">
      <c r="C129" s="62"/>
      <c r="D129" s="58"/>
    </row>
    <row r="130" spans="3:4">
      <c r="C130" s="62"/>
      <c r="D130" s="58"/>
    </row>
    <row r="131" spans="3:4">
      <c r="C131" s="62"/>
      <c r="D131" s="58"/>
    </row>
    <row r="132" spans="3:4">
      <c r="C132" s="62"/>
      <c r="D132" s="58"/>
    </row>
    <row r="133" spans="3:4">
      <c r="C133" s="62"/>
      <c r="D133" s="58"/>
    </row>
    <row r="134" spans="3:4">
      <c r="C134" s="62"/>
      <c r="D134" s="58"/>
    </row>
    <row r="135" spans="3:4">
      <c r="C135" s="62"/>
      <c r="D135" s="58"/>
    </row>
    <row r="136" spans="3:4">
      <c r="C136" s="62"/>
      <c r="D136" s="58"/>
    </row>
    <row r="137" spans="3:4">
      <c r="C137" s="62"/>
      <c r="D137" s="58"/>
    </row>
    <row r="138" spans="3:4">
      <c r="C138" s="62"/>
      <c r="D138" s="58"/>
    </row>
    <row r="139" spans="3:4">
      <c r="C139" s="62"/>
      <c r="D139" s="58"/>
    </row>
    <row r="140" spans="3:4">
      <c r="C140" s="62"/>
      <c r="D140" s="58"/>
    </row>
    <row r="141" spans="3:4">
      <c r="C141" s="62"/>
      <c r="D141" s="58"/>
    </row>
    <row r="142" spans="3:4">
      <c r="C142" s="62"/>
      <c r="D142" s="58"/>
    </row>
    <row r="143" spans="3:4">
      <c r="C143" s="62"/>
      <c r="D143" s="58"/>
    </row>
    <row r="144" spans="3:4">
      <c r="C144" s="62"/>
      <c r="D144" s="58"/>
    </row>
    <row r="145" spans="3:4">
      <c r="C145" s="62"/>
      <c r="D145" s="58"/>
    </row>
    <row r="146" spans="3:4">
      <c r="C146" s="62"/>
      <c r="D146" s="58"/>
    </row>
    <row r="147" spans="3:4">
      <c r="C147" s="62"/>
      <c r="D147" s="58"/>
    </row>
    <row r="148" spans="3:4">
      <c r="C148" s="62"/>
      <c r="D148" s="58"/>
    </row>
    <row r="149" spans="3:4">
      <c r="C149" s="62"/>
      <c r="D149" s="58"/>
    </row>
    <row r="150" spans="3:4">
      <c r="C150" s="62"/>
      <c r="D150" s="58"/>
    </row>
    <row r="151" spans="3:4">
      <c r="C151" s="62"/>
      <c r="D151" s="58"/>
    </row>
    <row r="152" spans="3:4">
      <c r="C152" s="62"/>
      <c r="D152" s="58"/>
    </row>
    <row r="153" spans="3:4">
      <c r="C153" s="62"/>
      <c r="D153" s="58"/>
    </row>
    <row r="154" spans="3:4">
      <c r="C154" s="62"/>
      <c r="D154" s="58"/>
    </row>
    <row r="155" spans="3:4">
      <c r="C155" s="62"/>
      <c r="D155" s="58"/>
    </row>
    <row r="156" spans="3:4">
      <c r="C156" s="62"/>
      <c r="D156" s="58"/>
    </row>
    <row r="157" spans="3:4">
      <c r="C157" s="62"/>
      <c r="D157" s="58"/>
    </row>
    <row r="158" spans="3:4">
      <c r="C158" s="62"/>
      <c r="D158" s="58"/>
    </row>
    <row r="159" spans="3:4">
      <c r="C159" s="62"/>
      <c r="D159" s="58"/>
    </row>
    <row r="160" spans="3:4">
      <c r="C160" s="62"/>
      <c r="D160" s="58"/>
    </row>
    <row r="161" spans="3:4">
      <c r="C161" s="62"/>
      <c r="D161" s="58"/>
    </row>
    <row r="162" spans="3:4">
      <c r="C162" s="62"/>
      <c r="D162" s="58"/>
    </row>
    <row r="163" spans="3:4">
      <c r="C163" s="62"/>
      <c r="D163" s="58"/>
    </row>
    <row r="164" spans="3:4">
      <c r="C164" s="62"/>
      <c r="D164" s="58"/>
    </row>
    <row r="165" spans="3:4">
      <c r="C165" s="62"/>
      <c r="D165" s="58"/>
    </row>
    <row r="166" spans="3:4">
      <c r="C166" s="62"/>
      <c r="D166" s="58"/>
    </row>
    <row r="167" spans="3:4">
      <c r="C167" s="62"/>
      <c r="D167" s="58"/>
    </row>
    <row r="168" spans="3:4">
      <c r="C168" s="62"/>
      <c r="D168" s="58"/>
    </row>
    <row r="169" spans="3:4">
      <c r="C169" s="62"/>
      <c r="D169" s="58"/>
    </row>
    <row r="170" spans="3:4">
      <c r="C170" s="62"/>
      <c r="D170" s="58"/>
    </row>
    <row r="171" spans="3:4">
      <c r="C171" s="62"/>
      <c r="D171" s="58"/>
    </row>
    <row r="172" spans="3:4">
      <c r="C172" s="62"/>
      <c r="D172" s="58"/>
    </row>
    <row r="173" spans="3:4">
      <c r="C173" s="62"/>
      <c r="D173" s="58"/>
    </row>
    <row r="174" spans="3:4">
      <c r="C174" s="62"/>
      <c r="D174" s="58"/>
    </row>
    <row r="175" spans="3:4">
      <c r="C175" s="62"/>
      <c r="D175" s="58"/>
    </row>
    <row r="176" spans="3:4">
      <c r="C176" s="62"/>
      <c r="D176" s="58"/>
    </row>
    <row r="177" spans="3:4">
      <c r="C177" s="62"/>
      <c r="D177" s="58"/>
    </row>
    <row r="178" spans="3:4">
      <c r="C178" s="62"/>
      <c r="D178" s="58"/>
    </row>
    <row r="179" spans="3:4">
      <c r="C179" s="62"/>
      <c r="D179" s="58"/>
    </row>
    <row r="180" spans="3:4">
      <c r="C180" s="62"/>
      <c r="D180" s="58"/>
    </row>
    <row r="181" spans="3:4">
      <c r="C181" s="62"/>
      <c r="D181" s="58"/>
    </row>
    <row r="182" spans="3:4">
      <c r="C182" s="62"/>
      <c r="D182" s="58"/>
    </row>
    <row r="183" spans="3:4">
      <c r="C183" s="62"/>
      <c r="D183" s="58"/>
    </row>
    <row r="184" spans="3:4">
      <c r="C184" s="62"/>
      <c r="D184" s="58"/>
    </row>
    <row r="185" spans="3:4">
      <c r="C185" s="62"/>
      <c r="D185" s="58"/>
    </row>
    <row r="186" spans="3:4">
      <c r="C186" s="62"/>
      <c r="D186" s="58"/>
    </row>
    <row r="187" spans="3:4">
      <c r="C187" s="62"/>
      <c r="D187" s="58"/>
    </row>
    <row r="188" spans="3:4">
      <c r="C188" s="62"/>
      <c r="D188" s="58"/>
    </row>
    <row r="189" spans="3:4">
      <c r="C189" s="62"/>
      <c r="D189" s="58"/>
    </row>
    <row r="190" spans="3:4">
      <c r="C190" s="62"/>
      <c r="D190" s="58"/>
    </row>
    <row r="191" spans="3:4">
      <c r="C191" s="62"/>
      <c r="D191" s="58"/>
    </row>
    <row r="192" spans="3:4">
      <c r="C192" s="62"/>
      <c r="D192" s="58"/>
    </row>
    <row r="193" spans="3:4">
      <c r="C193" s="62"/>
      <c r="D193" s="58"/>
    </row>
    <row r="194" spans="3:4">
      <c r="C194" s="62"/>
      <c r="D194" s="58"/>
    </row>
    <row r="195" spans="3:4">
      <c r="C195" s="62"/>
      <c r="D195" s="58"/>
    </row>
    <row r="196" spans="3:4">
      <c r="C196" s="62"/>
      <c r="D196" s="58"/>
    </row>
    <row r="197" spans="3:4">
      <c r="C197" s="62"/>
      <c r="D197" s="58"/>
    </row>
    <row r="198" spans="3:4">
      <c r="C198" s="62"/>
      <c r="D198" s="58"/>
    </row>
    <row r="199" spans="3:4">
      <c r="C199" s="62"/>
      <c r="D199" s="58"/>
    </row>
    <row r="200" spans="3:4">
      <c r="C200" s="62"/>
      <c r="D200" s="58"/>
    </row>
    <row r="201" spans="3:4">
      <c r="C201" s="62"/>
      <c r="D201" s="58"/>
    </row>
    <row r="202" spans="3:4">
      <c r="C202" s="62"/>
      <c r="D202" s="58"/>
    </row>
    <row r="203" spans="3:4">
      <c r="C203" s="62"/>
      <c r="D203" s="58"/>
    </row>
    <row r="204" spans="3:4">
      <c r="C204" s="62"/>
      <c r="D204" s="58"/>
    </row>
    <row r="205" spans="3:4">
      <c r="C205" s="62"/>
      <c r="D205" s="58"/>
    </row>
    <row r="206" spans="3:4">
      <c r="C206" s="62"/>
      <c r="D206" s="58"/>
    </row>
    <row r="207" spans="3:4">
      <c r="C207" s="62"/>
      <c r="D207" s="58"/>
    </row>
    <row r="208" spans="3:4">
      <c r="C208" s="62"/>
      <c r="D208" s="58"/>
    </row>
    <row r="209" spans="3:4">
      <c r="C209" s="62"/>
      <c r="D209" s="58"/>
    </row>
    <row r="210" spans="3:4">
      <c r="C210" s="62"/>
      <c r="D210" s="58"/>
    </row>
    <row r="211" spans="3:4">
      <c r="C211" s="62"/>
      <c r="D211" s="58"/>
    </row>
    <row r="212" spans="3:4">
      <c r="C212" s="62"/>
      <c r="D212" s="58"/>
    </row>
    <row r="213" spans="3:4">
      <c r="C213" s="62"/>
      <c r="D213" s="58"/>
    </row>
    <row r="214" spans="3:4">
      <c r="C214" s="62"/>
      <c r="D214" s="58"/>
    </row>
    <row r="215" spans="3:4">
      <c r="C215" s="62"/>
      <c r="D215" s="58"/>
    </row>
    <row r="216" spans="3:4">
      <c r="C216" s="62"/>
      <c r="D216" s="58"/>
    </row>
    <row r="217" spans="3:4">
      <c r="C217" s="62"/>
      <c r="D217" s="58"/>
    </row>
    <row r="218" spans="3:4">
      <c r="C218" s="62"/>
      <c r="D218" s="58"/>
    </row>
    <row r="219" spans="3:4">
      <c r="C219" s="62"/>
      <c r="D219" s="58"/>
    </row>
    <row r="220" spans="3:4">
      <c r="C220" s="62"/>
      <c r="D220" s="58"/>
    </row>
    <row r="221" spans="3:4">
      <c r="C221" s="62"/>
      <c r="D221" s="58"/>
    </row>
    <row r="222" spans="3:4">
      <c r="C222" s="62"/>
      <c r="D222" s="58"/>
    </row>
    <row r="223" spans="3:4">
      <c r="C223" s="62"/>
      <c r="D223" s="58"/>
    </row>
    <row r="224" spans="3:4">
      <c r="C224" s="62"/>
      <c r="D224" s="58"/>
    </row>
    <row r="225" spans="3:4">
      <c r="C225" s="62"/>
      <c r="D225" s="58"/>
    </row>
    <row r="226" spans="3:4">
      <c r="C226" s="62"/>
      <c r="D226" s="58"/>
    </row>
    <row r="227" spans="3:4">
      <c r="C227" s="62"/>
      <c r="D227" s="58"/>
    </row>
    <row r="228" spans="3:4">
      <c r="C228" s="62"/>
      <c r="D228" s="58"/>
    </row>
    <row r="229" spans="3:4">
      <c r="C229" s="62"/>
      <c r="D229" s="58"/>
    </row>
    <row r="230" spans="3:4">
      <c r="C230" s="62"/>
      <c r="D230" s="58"/>
    </row>
    <row r="231" spans="3:4">
      <c r="C231" s="62"/>
      <c r="D231" s="58"/>
    </row>
    <row r="232" spans="3:4">
      <c r="C232" s="62"/>
      <c r="D232" s="58"/>
    </row>
    <row r="233" spans="3:4">
      <c r="C233" s="62"/>
      <c r="D233" s="58"/>
    </row>
    <row r="234" spans="3:4">
      <c r="C234" s="62"/>
      <c r="D234" s="58"/>
    </row>
    <row r="235" spans="3:4">
      <c r="C235" s="62"/>
      <c r="D235" s="58"/>
    </row>
    <row r="236" spans="3:4">
      <c r="C236" s="62"/>
      <c r="D236" s="58"/>
    </row>
    <row r="237" spans="3:4">
      <c r="C237" s="62"/>
      <c r="D237" s="58"/>
    </row>
    <row r="238" spans="3:4">
      <c r="C238" s="62"/>
      <c r="D238" s="58"/>
    </row>
    <row r="239" spans="3:4">
      <c r="C239" s="62"/>
      <c r="D239" s="58"/>
    </row>
    <row r="240" spans="3:4">
      <c r="C240" s="62"/>
      <c r="D240" s="58"/>
    </row>
    <row r="241" spans="3:4">
      <c r="C241" s="62"/>
      <c r="D241" s="58"/>
    </row>
    <row r="242" spans="3:4">
      <c r="C242" s="62"/>
      <c r="D242" s="58"/>
    </row>
    <row r="243" spans="3:4">
      <c r="C243" s="62"/>
      <c r="D243" s="58"/>
    </row>
    <row r="244" spans="3:4">
      <c r="C244" s="62"/>
      <c r="D244" s="58"/>
    </row>
    <row r="245" spans="3:4">
      <c r="C245" s="62"/>
      <c r="D245" s="58"/>
    </row>
    <row r="246" spans="3:4">
      <c r="C246" s="62"/>
      <c r="D246" s="58"/>
    </row>
    <row r="247" spans="3:4">
      <c r="C247" s="62"/>
      <c r="D247" s="58"/>
    </row>
    <row r="248" spans="3:4">
      <c r="C248" s="62"/>
      <c r="D248" s="58"/>
    </row>
    <row r="249" spans="3:4">
      <c r="C249" s="62"/>
      <c r="D249" s="58"/>
    </row>
    <row r="250" spans="3:4">
      <c r="C250" s="62"/>
      <c r="D250" s="58"/>
    </row>
    <row r="251" spans="3:4">
      <c r="C251" s="62"/>
      <c r="D251" s="58"/>
    </row>
    <row r="252" spans="3:4">
      <c r="C252" s="62"/>
      <c r="D252" s="58"/>
    </row>
    <row r="253" spans="3:4">
      <c r="C253" s="62"/>
      <c r="D253" s="58"/>
    </row>
    <row r="254" spans="3:4">
      <c r="C254" s="62"/>
      <c r="D254" s="58"/>
    </row>
    <row r="255" spans="3:4">
      <c r="C255" s="62"/>
      <c r="D255" s="58"/>
    </row>
    <row r="256" spans="3:4">
      <c r="C256" s="62"/>
      <c r="D256" s="58"/>
    </row>
    <row r="257" spans="3:4">
      <c r="C257" s="62"/>
      <c r="D257" s="58"/>
    </row>
    <row r="258" spans="3:4">
      <c r="C258" s="62"/>
      <c r="D258" s="58"/>
    </row>
    <row r="259" spans="3:4">
      <c r="C259" s="62"/>
      <c r="D259" s="58"/>
    </row>
    <row r="260" spans="3:4">
      <c r="C260" s="62"/>
      <c r="D260" s="58"/>
    </row>
    <row r="261" spans="3:4">
      <c r="C261" s="62"/>
      <c r="D261" s="58"/>
    </row>
    <row r="262" spans="3:4">
      <c r="C262" s="62"/>
      <c r="D262" s="58"/>
    </row>
    <row r="263" spans="3:4">
      <c r="C263" s="62"/>
      <c r="D263" s="58"/>
    </row>
    <row r="264" spans="3:4">
      <c r="C264" s="62"/>
      <c r="D264" s="58"/>
    </row>
    <row r="265" spans="3:4">
      <c r="C265" s="62"/>
      <c r="D265" s="58"/>
    </row>
    <row r="266" spans="3:4">
      <c r="C266" s="62"/>
      <c r="D266" s="58"/>
    </row>
    <row r="267" spans="3:4">
      <c r="C267" s="62"/>
      <c r="D267" s="58"/>
    </row>
    <row r="268" spans="3:4">
      <c r="C268" s="62"/>
      <c r="D268" s="58"/>
    </row>
    <row r="269" spans="3:4">
      <c r="C269" s="62"/>
      <c r="D269" s="58"/>
    </row>
    <row r="270" spans="3:4">
      <c r="C270" s="62"/>
      <c r="D270" s="58"/>
    </row>
    <row r="271" spans="3:4">
      <c r="C271" s="62"/>
      <c r="D271" s="58"/>
    </row>
    <row r="272" spans="3:4">
      <c r="C272" s="62"/>
      <c r="D272" s="58"/>
    </row>
    <row r="273" spans="3:4">
      <c r="C273" s="62"/>
      <c r="D273" s="58"/>
    </row>
    <row r="274" spans="3:4">
      <c r="C274" s="62"/>
      <c r="D274" s="58"/>
    </row>
    <row r="275" spans="3:4">
      <c r="C275" s="62"/>
      <c r="D275" s="58"/>
    </row>
    <row r="276" spans="3:4">
      <c r="C276" s="62"/>
      <c r="D276" s="58"/>
    </row>
    <row r="277" spans="3:4">
      <c r="C277" s="62"/>
      <c r="D277" s="58"/>
    </row>
    <row r="278" spans="3:4">
      <c r="C278" s="62"/>
      <c r="D278" s="58"/>
    </row>
    <row r="279" spans="3:4">
      <c r="C279" s="62"/>
      <c r="D279" s="58"/>
    </row>
    <row r="280" spans="3:4">
      <c r="C280" s="62"/>
      <c r="D280" s="58"/>
    </row>
    <row r="281" spans="3:4">
      <c r="C281" s="62"/>
      <c r="D281" s="58"/>
    </row>
    <row r="282" spans="3:4">
      <c r="C282" s="62"/>
      <c r="D282" s="58"/>
    </row>
    <row r="283" spans="3:4">
      <c r="C283" s="62"/>
      <c r="D283" s="58"/>
    </row>
    <row r="284" spans="3:4">
      <c r="C284" s="62"/>
      <c r="D284" s="58"/>
    </row>
    <row r="285" spans="3:4">
      <c r="C285" s="62"/>
      <c r="D285" s="58"/>
    </row>
    <row r="286" spans="3:4">
      <c r="C286" s="62"/>
      <c r="D286" s="58"/>
    </row>
    <row r="287" spans="3:4">
      <c r="C287" s="62"/>
      <c r="D287" s="58"/>
    </row>
    <row r="288" spans="3:4">
      <c r="C288" s="62"/>
      <c r="D288" s="58"/>
    </row>
    <row r="289" spans="3:4">
      <c r="C289" s="62"/>
      <c r="D289" s="58"/>
    </row>
    <row r="290" spans="3:4">
      <c r="C290" s="62"/>
      <c r="D290" s="58"/>
    </row>
    <row r="291" spans="3:4">
      <c r="C291" s="62"/>
      <c r="D291" s="58"/>
    </row>
    <row r="292" spans="3:4">
      <c r="C292" s="62"/>
      <c r="D292" s="58"/>
    </row>
    <row r="293" spans="3:4">
      <c r="C293" s="62"/>
      <c r="D293" s="58"/>
    </row>
    <row r="294" spans="3:4">
      <c r="C294" s="62"/>
      <c r="D294" s="58"/>
    </row>
    <row r="295" spans="3:4">
      <c r="C295" s="62"/>
      <c r="D295" s="58"/>
    </row>
    <row r="296" spans="3:4">
      <c r="C296" s="62"/>
      <c r="D296" s="58"/>
    </row>
    <row r="297" spans="3:4">
      <c r="C297" s="62"/>
      <c r="D297" s="58"/>
    </row>
    <row r="298" spans="3:4">
      <c r="C298" s="62"/>
      <c r="D298" s="58"/>
    </row>
    <row r="299" spans="3:4">
      <c r="C299" s="62"/>
      <c r="D299" s="58"/>
    </row>
    <row r="300" spans="3:4">
      <c r="C300" s="62"/>
      <c r="D300" s="58"/>
    </row>
    <row r="301" spans="3:4">
      <c r="C301" s="62"/>
      <c r="D301" s="58"/>
    </row>
    <row r="302" spans="3:4">
      <c r="C302" s="62"/>
      <c r="D302" s="58"/>
    </row>
    <row r="303" spans="3:4">
      <c r="C303" s="62"/>
      <c r="D303" s="58"/>
    </row>
    <row r="304" spans="3:4">
      <c r="C304" s="62"/>
      <c r="D304" s="58"/>
    </row>
    <row r="305" spans="1:4">
      <c r="C305" s="62"/>
      <c r="D305" s="58"/>
    </row>
    <row r="306" spans="1:4">
      <c r="C306" s="62"/>
      <c r="D306" s="58"/>
    </row>
    <row r="307" spans="1:4">
      <c r="C307" s="62"/>
      <c r="D307" s="58"/>
    </row>
    <row r="308" spans="1:4">
      <c r="C308" s="62"/>
      <c r="D308" s="58"/>
    </row>
    <row r="309" spans="1:4">
      <c r="A309">
        <v>3638</v>
      </c>
      <c r="C309" s="62">
        <v>45382</v>
      </c>
      <c r="D309" s="58">
        <v>0</v>
      </c>
    </row>
  </sheetData>
  <dataValidations count="1">
    <dataValidation type="list" allowBlank="1" showInputMessage="1" showErrorMessage="1" sqref="E2:E309" xr:uid="{71B0EAB9-1247-4365-9484-F7D04E5E3DF8}">
      <formula1>"Yes"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CA09-D0EA-44A9-BBCF-B78FA74E6A77}">
  <sheetPr codeName="Sheet7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7970-802E-4829-9C7F-251F16A2E204}">
  <sheetPr codeName="Sheet6"/>
  <dimension ref="A3:D7"/>
  <sheetViews>
    <sheetView workbookViewId="0">
      <selection activeCell="F12" sqref="F12"/>
    </sheetView>
  </sheetViews>
  <sheetFormatPr defaultRowHeight="14.4"/>
  <cols>
    <col min="1" max="1" width="19.21875" customWidth="1"/>
    <col min="2" max="2" width="15" bestFit="1" customWidth="1"/>
    <col min="3" max="3" width="15.44140625" bestFit="1" customWidth="1"/>
    <col min="4" max="4" width="5.21875" bestFit="1" customWidth="1"/>
  </cols>
  <sheetData>
    <row r="3" spans="1:4">
      <c r="A3" s="60" t="s">
        <v>35</v>
      </c>
      <c r="B3" s="61"/>
      <c r="C3" s="61"/>
      <c r="D3" s="61"/>
    </row>
    <row r="4" spans="1:4">
      <c r="A4" s="60" t="s">
        <v>29</v>
      </c>
      <c r="B4" s="60" t="s">
        <v>27</v>
      </c>
      <c r="C4" s="60" t="s">
        <v>28</v>
      </c>
      <c r="D4" s="61" t="s">
        <v>2</v>
      </c>
    </row>
    <row r="5" spans="1:4">
      <c r="A5" s="61" t="s">
        <v>40</v>
      </c>
      <c r="B5" s="61" t="s">
        <v>40</v>
      </c>
      <c r="C5" s="61" t="s">
        <v>40</v>
      </c>
      <c r="D5" s="61"/>
    </row>
    <row r="6" spans="1:4">
      <c r="A6" s="65">
        <v>45382</v>
      </c>
      <c r="B6" s="61">
        <v>3638</v>
      </c>
      <c r="C6" s="61" t="s">
        <v>40</v>
      </c>
      <c r="D6" s="61">
        <v>0</v>
      </c>
    </row>
    <row r="7" spans="1:4">
      <c r="A7" s="61" t="s">
        <v>34</v>
      </c>
      <c r="B7" s="61"/>
      <c r="C7" s="61"/>
      <c r="D7" s="6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Invoice </vt:lpstr>
      <vt:lpstr>partyname</vt:lpstr>
      <vt:lpstr>product name</vt:lpstr>
      <vt:lpstr>Transport</vt:lpstr>
      <vt:lpstr>Record</vt:lpstr>
      <vt:lpstr>Sheet1</vt:lpstr>
      <vt:lpstr>Pivot</vt:lpstr>
      <vt:lpstr>itemname</vt:lpstr>
      <vt:lpstr>partyname</vt:lpstr>
      <vt:lpstr>'Invoice '!Print_Area</vt:lpstr>
      <vt:lpstr>transportname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janak mukesh</dc:creator>
  <cp:lastModifiedBy>Janak Nagwani</cp:lastModifiedBy>
  <cp:lastPrinted>2024-07-25T08:19:58Z</cp:lastPrinted>
  <dcterms:created xsi:type="dcterms:W3CDTF">2020-09-26T17:17:58Z</dcterms:created>
  <dcterms:modified xsi:type="dcterms:W3CDTF">2024-07-26T08:38:05Z</dcterms:modified>
</cp:coreProperties>
</file>